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ta\Documents\"/>
    </mc:Choice>
  </mc:AlternateContent>
  <xr:revisionPtr revIDLastSave="0" documentId="13_ncr:1_{84F409F0-2B11-49A4-952D-B76BAE09BEDB}" xr6:coauthVersionLast="47" xr6:coauthVersionMax="47" xr10:uidLastSave="{00000000-0000-0000-0000-000000000000}"/>
  <bookViews>
    <workbookView xWindow="-108" yWindow="-108" windowWidth="30936" windowHeight="16776" activeTab="3" xr2:uid="{EB1E8A99-7210-4AAE-A6CF-3186C0979DA6}"/>
  </bookViews>
  <sheets>
    <sheet name="Dane" sheetId="2" r:id="rId1"/>
    <sheet name="Tabele" sheetId="1" r:id="rId2"/>
    <sheet name="Dane corrupted" sheetId="7" r:id="rId3"/>
    <sheet name="Tabele Corrupted" sheetId="9" r:id="rId4"/>
  </sheets>
  <calcPr calcId="191029"/>
  <pivotCaches>
    <pivotCache cacheId="17" r:id="rId5"/>
    <pivotCache cacheId="47" r:id="rId6"/>
    <pivotCache cacheId="52" r:id="rId7"/>
    <pivotCache cacheId="57" r:id="rId8"/>
    <pivotCache cacheId="62" r:id="rId9"/>
    <pivotCache cacheId="67" r:id="rId10"/>
    <pivotCache cacheId="84" r:id="rId11"/>
    <pivotCache cacheId="89" r:id="rId12"/>
    <pivotCache cacheId="94" r:id="rId13"/>
    <pivotCache cacheId="144" r:id="rId14"/>
    <pivotCache cacheId="158" r:id="rId15"/>
    <pivotCache cacheId="163" r:id="rId16"/>
    <pivotCache cacheId="168" r:id="rId17"/>
    <pivotCache cacheId="173" r:id="rId18"/>
    <pivotCache cacheId="178" r:id="rId19"/>
    <pivotCache cacheId="189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2" i="9" l="1"/>
  <c r="B312" i="9"/>
  <c r="C312" i="9"/>
  <c r="D312" i="9"/>
  <c r="A313" i="9"/>
  <c r="B313" i="9"/>
  <c r="C313" i="9"/>
  <c r="D313" i="9"/>
  <c r="A314" i="9"/>
  <c r="B314" i="9"/>
  <c r="C314" i="9"/>
  <c r="D314" i="9"/>
  <c r="A315" i="9"/>
  <c r="B315" i="9"/>
  <c r="C315" i="9"/>
  <c r="D315" i="9"/>
  <c r="A191" i="9"/>
  <c r="B191" i="9"/>
  <c r="C191" i="9"/>
  <c r="D191" i="9"/>
  <c r="A192" i="9"/>
  <c r="B192" i="9"/>
  <c r="C192" i="9"/>
  <c r="D192" i="9"/>
  <c r="A193" i="9"/>
  <c r="B193" i="9"/>
  <c r="C193" i="9"/>
  <c r="D193" i="9"/>
  <c r="A194" i="9"/>
  <c r="B194" i="9"/>
  <c r="C194" i="9"/>
  <c r="D194" i="9"/>
  <c r="A195" i="9"/>
  <c r="B195" i="9"/>
  <c r="C195" i="9"/>
  <c r="D195" i="9"/>
  <c r="A196" i="9"/>
  <c r="B196" i="9"/>
  <c r="C196" i="9"/>
  <c r="D196" i="9"/>
  <c r="A197" i="9"/>
  <c r="B197" i="9"/>
  <c r="C197" i="9"/>
  <c r="D197" i="9"/>
  <c r="A198" i="9"/>
  <c r="B198" i="9"/>
  <c r="C198" i="9"/>
  <c r="D198" i="9"/>
  <c r="A199" i="9"/>
  <c r="B199" i="9"/>
  <c r="C199" i="9"/>
  <c r="D199" i="9"/>
  <c r="A200" i="9"/>
  <c r="B200" i="9"/>
  <c r="C200" i="9"/>
  <c r="D200" i="9"/>
  <c r="A201" i="9"/>
  <c r="B201" i="9"/>
  <c r="C201" i="9"/>
  <c r="D201" i="9"/>
  <c r="A202" i="9"/>
  <c r="B202" i="9"/>
  <c r="C202" i="9"/>
  <c r="D202" i="9"/>
  <c r="A203" i="9"/>
  <c r="B203" i="9"/>
  <c r="C203" i="9"/>
  <c r="D203" i="9"/>
  <c r="A204" i="9"/>
  <c r="B204" i="9"/>
  <c r="C204" i="9"/>
  <c r="D204" i="9"/>
  <c r="A205" i="9"/>
  <c r="B205" i="9"/>
  <c r="C205" i="9"/>
  <c r="D205" i="9"/>
  <c r="A206" i="9"/>
  <c r="B206" i="9"/>
  <c r="C206" i="9"/>
  <c r="D206" i="9"/>
  <c r="A207" i="9"/>
  <c r="B207" i="9"/>
  <c r="C207" i="9"/>
  <c r="D207" i="9"/>
  <c r="A208" i="9"/>
  <c r="B208" i="9"/>
  <c r="C208" i="9"/>
  <c r="D208" i="9"/>
  <c r="A209" i="9"/>
  <c r="B209" i="9"/>
  <c r="C209" i="9"/>
  <c r="D209" i="9"/>
  <c r="A210" i="9"/>
  <c r="B210" i="9"/>
  <c r="C210" i="9"/>
  <c r="D210" i="9"/>
  <c r="A212" i="9"/>
  <c r="B212" i="9"/>
  <c r="C212" i="9"/>
  <c r="D212" i="9"/>
  <c r="A213" i="9"/>
  <c r="B213" i="9"/>
  <c r="C213" i="9"/>
  <c r="D213" i="9"/>
  <c r="A214" i="9"/>
  <c r="B214" i="9"/>
  <c r="C214" i="9"/>
  <c r="D214" i="9"/>
  <c r="A215" i="9"/>
  <c r="B215" i="9"/>
  <c r="C215" i="9"/>
  <c r="D215" i="9"/>
  <c r="A216" i="9"/>
  <c r="B216" i="9"/>
  <c r="C216" i="9"/>
  <c r="D216" i="9"/>
  <c r="A217" i="9"/>
  <c r="B217" i="9"/>
  <c r="C217" i="9"/>
  <c r="D217" i="9"/>
  <c r="A218" i="9"/>
  <c r="B218" i="9"/>
  <c r="C218" i="9"/>
  <c r="D218" i="9"/>
  <c r="A219" i="9"/>
  <c r="B219" i="9"/>
  <c r="C219" i="9"/>
  <c r="D219" i="9"/>
  <c r="A220" i="9"/>
  <c r="B220" i="9"/>
  <c r="C220" i="9"/>
  <c r="D220" i="9"/>
  <c r="A221" i="9"/>
  <c r="B221" i="9"/>
  <c r="C221" i="9"/>
  <c r="D221" i="9"/>
  <c r="A222" i="9"/>
  <c r="B222" i="9"/>
  <c r="C222" i="9"/>
  <c r="D222" i="9"/>
  <c r="A223" i="9"/>
  <c r="B223" i="9"/>
  <c r="C223" i="9"/>
  <c r="D223" i="9"/>
  <c r="A224" i="9"/>
  <c r="B224" i="9"/>
  <c r="C224" i="9"/>
  <c r="D224" i="9"/>
  <c r="A225" i="9"/>
  <c r="B225" i="9"/>
  <c r="C225" i="9"/>
  <c r="D225" i="9"/>
  <c r="A226" i="9"/>
  <c r="B226" i="9"/>
  <c r="C226" i="9"/>
  <c r="D226" i="9"/>
  <c r="A227" i="9"/>
  <c r="B227" i="9"/>
  <c r="C227" i="9"/>
  <c r="D227" i="9"/>
  <c r="A228" i="9"/>
  <c r="B228" i="9"/>
  <c r="C228" i="9"/>
  <c r="D228" i="9"/>
  <c r="A229" i="9"/>
  <c r="B229" i="9"/>
  <c r="C229" i="9"/>
  <c r="D229" i="9"/>
  <c r="A230" i="9"/>
  <c r="B230" i="9"/>
  <c r="C230" i="9"/>
  <c r="D230" i="9"/>
  <c r="A231" i="9"/>
  <c r="B231" i="9"/>
  <c r="C231" i="9"/>
  <c r="D231" i="9"/>
  <c r="A233" i="9"/>
  <c r="B233" i="9"/>
  <c r="C233" i="9"/>
  <c r="D233" i="9"/>
  <c r="A234" i="9"/>
  <c r="B234" i="9"/>
  <c r="C234" i="9"/>
  <c r="D234" i="9"/>
  <c r="A235" i="9"/>
  <c r="B235" i="9"/>
  <c r="C235" i="9"/>
  <c r="D235" i="9"/>
  <c r="A236" i="9"/>
  <c r="B236" i="9"/>
  <c r="C236" i="9"/>
  <c r="D236" i="9"/>
  <c r="A237" i="9"/>
  <c r="B237" i="9"/>
  <c r="C237" i="9"/>
  <c r="D237" i="9"/>
  <c r="A238" i="9"/>
  <c r="B238" i="9"/>
  <c r="C238" i="9"/>
  <c r="D238" i="9"/>
  <c r="A239" i="9"/>
  <c r="B239" i="9"/>
  <c r="C239" i="9"/>
  <c r="D239" i="9"/>
  <c r="A240" i="9"/>
  <c r="B240" i="9"/>
  <c r="C240" i="9"/>
  <c r="D240" i="9"/>
  <c r="A241" i="9"/>
  <c r="B241" i="9"/>
  <c r="C241" i="9"/>
  <c r="D241" i="9"/>
  <c r="A242" i="9"/>
  <c r="B242" i="9"/>
  <c r="C242" i="9"/>
  <c r="D242" i="9"/>
  <c r="A243" i="9"/>
  <c r="B243" i="9"/>
  <c r="C243" i="9"/>
  <c r="D243" i="9"/>
  <c r="A244" i="9"/>
  <c r="B244" i="9"/>
  <c r="C244" i="9"/>
  <c r="D244" i="9"/>
  <c r="A245" i="9"/>
  <c r="B245" i="9"/>
  <c r="C245" i="9"/>
  <c r="D245" i="9"/>
  <c r="A246" i="9"/>
  <c r="B246" i="9"/>
  <c r="C246" i="9"/>
  <c r="D246" i="9"/>
  <c r="A247" i="9"/>
  <c r="B247" i="9"/>
  <c r="C247" i="9"/>
  <c r="D247" i="9"/>
  <c r="A248" i="9"/>
  <c r="B248" i="9"/>
  <c r="C248" i="9"/>
  <c r="D248" i="9"/>
  <c r="A249" i="9"/>
  <c r="B249" i="9"/>
  <c r="C249" i="9"/>
  <c r="D249" i="9"/>
  <c r="A250" i="9"/>
  <c r="B250" i="9"/>
  <c r="C250" i="9"/>
  <c r="D250" i="9"/>
  <c r="A251" i="9"/>
  <c r="B251" i="9"/>
  <c r="C251" i="9"/>
  <c r="D251" i="9"/>
  <c r="A252" i="9"/>
  <c r="B252" i="9"/>
  <c r="C252" i="9"/>
  <c r="D252" i="9"/>
  <c r="A254" i="9"/>
  <c r="B254" i="9"/>
  <c r="C254" i="9"/>
  <c r="D254" i="9"/>
  <c r="A255" i="9"/>
  <c r="B255" i="9"/>
  <c r="C255" i="9"/>
  <c r="D255" i="9"/>
  <c r="A256" i="9"/>
  <c r="B256" i="9"/>
  <c r="C256" i="9"/>
  <c r="D256" i="9"/>
  <c r="A257" i="9"/>
  <c r="B257" i="9"/>
  <c r="C257" i="9"/>
  <c r="D257" i="9"/>
  <c r="A258" i="9"/>
  <c r="B258" i="9"/>
  <c r="C258" i="9"/>
  <c r="D258" i="9"/>
  <c r="A259" i="9"/>
  <c r="B259" i="9"/>
  <c r="C259" i="9"/>
  <c r="D259" i="9"/>
  <c r="A260" i="9"/>
  <c r="B260" i="9"/>
  <c r="C260" i="9"/>
  <c r="D260" i="9"/>
  <c r="A261" i="9"/>
  <c r="B261" i="9"/>
  <c r="C261" i="9"/>
  <c r="D261" i="9"/>
  <c r="A262" i="9"/>
  <c r="B262" i="9"/>
  <c r="C262" i="9"/>
  <c r="D262" i="9"/>
  <c r="A263" i="9"/>
  <c r="B263" i="9"/>
  <c r="C263" i="9"/>
  <c r="D263" i="9"/>
  <c r="A264" i="9"/>
  <c r="B264" i="9"/>
  <c r="C264" i="9"/>
  <c r="D264" i="9"/>
  <c r="A265" i="9"/>
  <c r="B265" i="9"/>
  <c r="C265" i="9"/>
  <c r="D265" i="9"/>
  <c r="A266" i="9"/>
  <c r="B266" i="9"/>
  <c r="C266" i="9"/>
  <c r="D266" i="9"/>
  <c r="A267" i="9"/>
  <c r="B267" i="9"/>
  <c r="C267" i="9"/>
  <c r="D267" i="9"/>
  <c r="A268" i="9"/>
  <c r="B268" i="9"/>
  <c r="C268" i="9"/>
  <c r="D268" i="9"/>
  <c r="A269" i="9"/>
  <c r="B269" i="9"/>
  <c r="C269" i="9"/>
  <c r="D269" i="9"/>
  <c r="A270" i="9"/>
  <c r="B270" i="9"/>
  <c r="C270" i="9"/>
  <c r="D270" i="9"/>
  <c r="A271" i="9"/>
  <c r="B271" i="9"/>
  <c r="C271" i="9"/>
  <c r="D271" i="9"/>
  <c r="A272" i="9"/>
  <c r="B272" i="9"/>
  <c r="C272" i="9"/>
  <c r="D272" i="9"/>
  <c r="A273" i="9"/>
  <c r="B273" i="9"/>
  <c r="C273" i="9"/>
  <c r="D273" i="9"/>
  <c r="A275" i="9"/>
  <c r="B275" i="9"/>
  <c r="C275" i="9"/>
  <c r="D275" i="9"/>
  <c r="A276" i="9"/>
  <c r="B276" i="9"/>
  <c r="C276" i="9"/>
  <c r="D276" i="9"/>
  <c r="A277" i="9"/>
  <c r="B277" i="9"/>
  <c r="C277" i="9"/>
  <c r="D277" i="9"/>
  <c r="A278" i="9"/>
  <c r="B278" i="9"/>
  <c r="C278" i="9"/>
  <c r="D278" i="9"/>
  <c r="A279" i="9"/>
  <c r="B279" i="9"/>
  <c r="C279" i="9"/>
  <c r="D279" i="9"/>
  <c r="A280" i="9"/>
  <c r="B280" i="9"/>
  <c r="C280" i="9"/>
  <c r="D280" i="9"/>
  <c r="A281" i="9"/>
  <c r="B281" i="9"/>
  <c r="C281" i="9"/>
  <c r="D281" i="9"/>
  <c r="A282" i="9"/>
  <c r="B282" i="9"/>
  <c r="C282" i="9"/>
  <c r="D282" i="9"/>
  <c r="A283" i="9"/>
  <c r="B283" i="9"/>
  <c r="C283" i="9"/>
  <c r="D283" i="9"/>
  <c r="A284" i="9"/>
  <c r="B284" i="9"/>
  <c r="C284" i="9"/>
  <c r="D284" i="9"/>
  <c r="A285" i="9"/>
  <c r="B285" i="9"/>
  <c r="C285" i="9"/>
  <c r="D285" i="9"/>
  <c r="A286" i="9"/>
  <c r="B286" i="9"/>
  <c r="C286" i="9"/>
  <c r="D286" i="9"/>
  <c r="A287" i="9"/>
  <c r="B287" i="9"/>
  <c r="C287" i="9"/>
  <c r="D287" i="9"/>
  <c r="A288" i="9"/>
  <c r="B288" i="9"/>
  <c r="C288" i="9"/>
  <c r="D288" i="9"/>
  <c r="A289" i="9"/>
  <c r="B289" i="9"/>
  <c r="C289" i="9"/>
  <c r="D289" i="9"/>
  <c r="A290" i="9"/>
  <c r="B290" i="9"/>
  <c r="C290" i="9"/>
  <c r="D290" i="9"/>
  <c r="A291" i="9"/>
  <c r="B291" i="9"/>
  <c r="C291" i="9"/>
  <c r="D291" i="9"/>
  <c r="A292" i="9"/>
  <c r="B292" i="9"/>
  <c r="C292" i="9"/>
  <c r="D292" i="9"/>
  <c r="A293" i="9"/>
  <c r="B293" i="9"/>
  <c r="C293" i="9"/>
  <c r="D293" i="9"/>
  <c r="A294" i="9"/>
  <c r="B294" i="9"/>
  <c r="C294" i="9"/>
  <c r="D294" i="9"/>
  <c r="A296" i="9"/>
  <c r="B296" i="9"/>
  <c r="C296" i="9"/>
  <c r="D296" i="9"/>
  <c r="A297" i="9"/>
  <c r="B297" i="9"/>
  <c r="C297" i="9"/>
  <c r="D297" i="9"/>
  <c r="A298" i="9"/>
  <c r="B298" i="9"/>
  <c r="C298" i="9"/>
  <c r="D298" i="9"/>
  <c r="A299" i="9"/>
  <c r="B299" i="9"/>
  <c r="C299" i="9"/>
  <c r="D299" i="9"/>
  <c r="A300" i="9"/>
  <c r="B300" i="9"/>
  <c r="C300" i="9"/>
  <c r="D300" i="9"/>
  <c r="A301" i="9"/>
  <c r="B301" i="9"/>
  <c r="C301" i="9"/>
  <c r="D301" i="9"/>
  <c r="A302" i="9"/>
  <c r="B302" i="9"/>
  <c r="C302" i="9"/>
  <c r="D302" i="9"/>
  <c r="A303" i="9"/>
  <c r="B303" i="9"/>
  <c r="C303" i="9"/>
  <c r="D303" i="9"/>
  <c r="A304" i="9"/>
  <c r="B304" i="9"/>
  <c r="C304" i="9"/>
  <c r="D304" i="9"/>
  <c r="A305" i="9"/>
  <c r="B305" i="9"/>
  <c r="C305" i="9"/>
  <c r="D305" i="9"/>
  <c r="A306" i="9"/>
  <c r="B306" i="9"/>
  <c r="C306" i="9"/>
  <c r="D306" i="9"/>
  <c r="A307" i="9"/>
  <c r="B307" i="9"/>
  <c r="C307" i="9"/>
  <c r="D307" i="9"/>
  <c r="A308" i="9"/>
  <c r="B308" i="9"/>
  <c r="C308" i="9"/>
  <c r="D308" i="9"/>
  <c r="A309" i="9"/>
  <c r="B309" i="9"/>
  <c r="C309" i="9"/>
  <c r="D309" i="9"/>
  <c r="A310" i="9"/>
  <c r="B310" i="9"/>
  <c r="C310" i="9"/>
  <c r="D310" i="9"/>
  <c r="A311" i="9"/>
  <c r="B311" i="9"/>
  <c r="C311" i="9"/>
  <c r="D311" i="9"/>
  <c r="A317" i="9"/>
  <c r="B317" i="9"/>
  <c r="C317" i="9"/>
  <c r="D317" i="9"/>
  <c r="A318" i="9"/>
  <c r="B318" i="9"/>
  <c r="C318" i="9"/>
  <c r="D318" i="9"/>
  <c r="A319" i="9"/>
  <c r="B319" i="9"/>
  <c r="C319" i="9"/>
  <c r="D319" i="9"/>
  <c r="A320" i="9"/>
  <c r="B320" i="9"/>
  <c r="C320" i="9"/>
  <c r="D320" i="9"/>
  <c r="A321" i="9"/>
  <c r="B321" i="9"/>
  <c r="C321" i="9"/>
  <c r="D321" i="9"/>
  <c r="A322" i="9"/>
  <c r="B322" i="9"/>
  <c r="C322" i="9"/>
  <c r="D322" i="9"/>
  <c r="A323" i="9"/>
  <c r="B323" i="9"/>
  <c r="C323" i="9"/>
  <c r="D323" i="9"/>
  <c r="A324" i="9"/>
  <c r="B324" i="9"/>
  <c r="C324" i="9"/>
  <c r="D324" i="9"/>
  <c r="A325" i="9"/>
  <c r="B325" i="9"/>
  <c r="C325" i="9"/>
  <c r="D325" i="9"/>
  <c r="A326" i="9"/>
  <c r="B326" i="9"/>
  <c r="C326" i="9"/>
  <c r="D326" i="9"/>
  <c r="A327" i="9"/>
  <c r="B327" i="9"/>
  <c r="C327" i="9"/>
  <c r="D327" i="9"/>
  <c r="A328" i="9"/>
  <c r="B328" i="9"/>
  <c r="C328" i="9"/>
  <c r="D328" i="9"/>
  <c r="A329" i="9"/>
  <c r="B329" i="9"/>
  <c r="C329" i="9"/>
  <c r="D329" i="9"/>
  <c r="A330" i="9"/>
  <c r="B330" i="9"/>
  <c r="C330" i="9"/>
  <c r="D330" i="9"/>
  <c r="A331" i="9"/>
  <c r="B331" i="9"/>
  <c r="C331" i="9"/>
  <c r="D331" i="9"/>
  <c r="A332" i="9"/>
  <c r="B332" i="9"/>
  <c r="C332" i="9"/>
  <c r="D332" i="9"/>
  <c r="A333" i="9"/>
  <c r="B333" i="9"/>
  <c r="C333" i="9"/>
  <c r="D333" i="9"/>
  <c r="A334" i="9"/>
  <c r="B334" i="9"/>
  <c r="C334" i="9"/>
  <c r="D334" i="9"/>
  <c r="A335" i="9"/>
  <c r="B335" i="9"/>
  <c r="C335" i="9"/>
  <c r="D335" i="9"/>
  <c r="A336" i="9"/>
  <c r="B336" i="9"/>
  <c r="C336" i="9"/>
  <c r="D336" i="9"/>
  <c r="D189" i="9"/>
  <c r="D188" i="9"/>
  <c r="D187" i="9"/>
  <c r="D186" i="9"/>
  <c r="D185" i="9"/>
  <c r="D184" i="9"/>
  <c r="D183" i="9"/>
  <c r="D182" i="9"/>
  <c r="D181" i="9"/>
  <c r="D180" i="9"/>
  <c r="D179" i="9"/>
  <c r="D178" i="9"/>
  <c r="D177" i="9"/>
  <c r="D176" i="9"/>
  <c r="D175" i="9"/>
  <c r="D174" i="9"/>
  <c r="D173" i="9"/>
  <c r="D172" i="9"/>
  <c r="D171" i="9"/>
  <c r="D170" i="9"/>
  <c r="D168" i="9"/>
  <c r="D167" i="9"/>
  <c r="D166" i="9"/>
  <c r="D165" i="9"/>
  <c r="D164" i="9"/>
  <c r="D163" i="9"/>
  <c r="D162" i="9"/>
  <c r="D161" i="9"/>
  <c r="D160" i="9"/>
  <c r="D159" i="9"/>
  <c r="D158" i="9"/>
  <c r="D157" i="9"/>
  <c r="D156" i="9"/>
  <c r="D155" i="9"/>
  <c r="D154" i="9"/>
  <c r="D153" i="9"/>
  <c r="D152" i="9"/>
  <c r="D151" i="9"/>
  <c r="D150" i="9"/>
  <c r="D149" i="9"/>
  <c r="D147" i="9"/>
  <c r="D146" i="9"/>
  <c r="D145" i="9"/>
  <c r="D144" i="9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D129" i="9"/>
  <c r="D128" i="9"/>
  <c r="D126" i="9"/>
  <c r="D125" i="9"/>
  <c r="D124" i="9"/>
  <c r="D123" i="9"/>
  <c r="D122" i="9"/>
  <c r="D121" i="9"/>
  <c r="D120" i="9"/>
  <c r="D119" i="9"/>
  <c r="D118" i="9"/>
  <c r="D117" i="9"/>
  <c r="D116" i="9"/>
  <c r="D115" i="9"/>
  <c r="D114" i="9"/>
  <c r="D113" i="9"/>
  <c r="D112" i="9"/>
  <c r="D111" i="9"/>
  <c r="D110" i="9"/>
  <c r="D109" i="9"/>
  <c r="D108" i="9"/>
  <c r="D107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A189" i="9"/>
  <c r="B189" i="9"/>
  <c r="C189" i="9"/>
  <c r="A171" i="9"/>
  <c r="B171" i="9"/>
  <c r="C171" i="9"/>
  <c r="A172" i="9"/>
  <c r="B172" i="9"/>
  <c r="C172" i="9"/>
  <c r="A173" i="9"/>
  <c r="B173" i="9"/>
  <c r="C173" i="9"/>
  <c r="A174" i="9"/>
  <c r="B174" i="9"/>
  <c r="C174" i="9"/>
  <c r="A175" i="9"/>
  <c r="B175" i="9"/>
  <c r="C175" i="9"/>
  <c r="A176" i="9"/>
  <c r="B176" i="9"/>
  <c r="C176" i="9"/>
  <c r="A177" i="9"/>
  <c r="B177" i="9"/>
  <c r="C177" i="9"/>
  <c r="A178" i="9"/>
  <c r="B178" i="9"/>
  <c r="C178" i="9"/>
  <c r="A179" i="9"/>
  <c r="B179" i="9"/>
  <c r="C179" i="9"/>
  <c r="A180" i="9"/>
  <c r="B180" i="9"/>
  <c r="C180" i="9"/>
  <c r="A181" i="9"/>
  <c r="B181" i="9"/>
  <c r="C181" i="9"/>
  <c r="A182" i="9"/>
  <c r="B182" i="9"/>
  <c r="C182" i="9"/>
  <c r="A183" i="9"/>
  <c r="B183" i="9"/>
  <c r="C183" i="9"/>
  <c r="A184" i="9"/>
  <c r="B184" i="9"/>
  <c r="C184" i="9"/>
  <c r="A185" i="9"/>
  <c r="B185" i="9"/>
  <c r="C185" i="9"/>
  <c r="A186" i="9"/>
  <c r="B186" i="9"/>
  <c r="C186" i="9"/>
  <c r="A187" i="9"/>
  <c r="B187" i="9"/>
  <c r="C187" i="9"/>
  <c r="A188" i="9"/>
  <c r="B188" i="9"/>
  <c r="C188" i="9"/>
  <c r="B170" i="9"/>
  <c r="C170" i="9"/>
  <c r="A170" i="9"/>
  <c r="A150" i="9"/>
  <c r="B150" i="9"/>
  <c r="C150" i="9"/>
  <c r="A151" i="9"/>
  <c r="B151" i="9"/>
  <c r="C151" i="9"/>
  <c r="A152" i="9"/>
  <c r="B152" i="9"/>
  <c r="C152" i="9"/>
  <c r="A153" i="9"/>
  <c r="B153" i="9"/>
  <c r="C153" i="9"/>
  <c r="A154" i="9"/>
  <c r="B154" i="9"/>
  <c r="C154" i="9"/>
  <c r="A155" i="9"/>
  <c r="B155" i="9"/>
  <c r="C155" i="9"/>
  <c r="A156" i="9"/>
  <c r="B156" i="9"/>
  <c r="C156" i="9"/>
  <c r="A157" i="9"/>
  <c r="B157" i="9"/>
  <c r="C157" i="9"/>
  <c r="A158" i="9"/>
  <c r="B158" i="9"/>
  <c r="C158" i="9"/>
  <c r="A159" i="9"/>
  <c r="B159" i="9"/>
  <c r="C159" i="9"/>
  <c r="A160" i="9"/>
  <c r="B160" i="9"/>
  <c r="C160" i="9"/>
  <c r="A161" i="9"/>
  <c r="B161" i="9"/>
  <c r="C161" i="9"/>
  <c r="A162" i="9"/>
  <c r="B162" i="9"/>
  <c r="C162" i="9"/>
  <c r="A163" i="9"/>
  <c r="B163" i="9"/>
  <c r="C163" i="9"/>
  <c r="A164" i="9"/>
  <c r="B164" i="9"/>
  <c r="C164" i="9"/>
  <c r="A165" i="9"/>
  <c r="B165" i="9"/>
  <c r="C165" i="9"/>
  <c r="A166" i="9"/>
  <c r="B166" i="9"/>
  <c r="C166" i="9"/>
  <c r="A167" i="9"/>
  <c r="B167" i="9"/>
  <c r="C167" i="9"/>
  <c r="A168" i="9"/>
  <c r="B168" i="9"/>
  <c r="C168" i="9"/>
  <c r="B149" i="9"/>
  <c r="C149" i="9"/>
  <c r="A149" i="9"/>
  <c r="A129" i="9"/>
  <c r="B129" i="9"/>
  <c r="C129" i="9"/>
  <c r="A130" i="9"/>
  <c r="B130" i="9"/>
  <c r="C130" i="9"/>
  <c r="A131" i="9"/>
  <c r="B131" i="9"/>
  <c r="C131" i="9"/>
  <c r="A132" i="9"/>
  <c r="B132" i="9"/>
  <c r="C132" i="9"/>
  <c r="A133" i="9"/>
  <c r="B133" i="9"/>
  <c r="C133" i="9"/>
  <c r="A134" i="9"/>
  <c r="B134" i="9"/>
  <c r="C134" i="9"/>
  <c r="A135" i="9"/>
  <c r="B135" i="9"/>
  <c r="C135" i="9"/>
  <c r="A136" i="9"/>
  <c r="B136" i="9"/>
  <c r="C136" i="9"/>
  <c r="A137" i="9"/>
  <c r="B137" i="9"/>
  <c r="C137" i="9"/>
  <c r="A138" i="9"/>
  <c r="B138" i="9"/>
  <c r="C138" i="9"/>
  <c r="A139" i="9"/>
  <c r="B139" i="9"/>
  <c r="C139" i="9"/>
  <c r="A140" i="9"/>
  <c r="B140" i="9"/>
  <c r="C140" i="9"/>
  <c r="A141" i="9"/>
  <c r="B141" i="9"/>
  <c r="C141" i="9"/>
  <c r="A142" i="9"/>
  <c r="B142" i="9"/>
  <c r="C142" i="9"/>
  <c r="A143" i="9"/>
  <c r="B143" i="9"/>
  <c r="C143" i="9"/>
  <c r="A144" i="9"/>
  <c r="B144" i="9"/>
  <c r="C144" i="9"/>
  <c r="A145" i="9"/>
  <c r="B145" i="9"/>
  <c r="C145" i="9"/>
  <c r="A146" i="9"/>
  <c r="B146" i="9"/>
  <c r="C146" i="9"/>
  <c r="A147" i="9"/>
  <c r="B147" i="9"/>
  <c r="C147" i="9"/>
  <c r="B128" i="9"/>
  <c r="C128" i="9"/>
  <c r="A128" i="9"/>
  <c r="A108" i="9"/>
  <c r="B108" i="9"/>
  <c r="C108" i="9"/>
  <c r="A109" i="9"/>
  <c r="B109" i="9"/>
  <c r="C109" i="9"/>
  <c r="A110" i="9"/>
  <c r="B110" i="9"/>
  <c r="C110" i="9"/>
  <c r="A111" i="9"/>
  <c r="B111" i="9"/>
  <c r="C111" i="9"/>
  <c r="A112" i="9"/>
  <c r="B112" i="9"/>
  <c r="C112" i="9"/>
  <c r="A113" i="9"/>
  <c r="B113" i="9"/>
  <c r="C113" i="9"/>
  <c r="A114" i="9"/>
  <c r="B114" i="9"/>
  <c r="C114" i="9"/>
  <c r="A115" i="9"/>
  <c r="B115" i="9"/>
  <c r="C115" i="9"/>
  <c r="A116" i="9"/>
  <c r="B116" i="9"/>
  <c r="C116" i="9"/>
  <c r="A117" i="9"/>
  <c r="B117" i="9"/>
  <c r="C117" i="9"/>
  <c r="A118" i="9"/>
  <c r="B118" i="9"/>
  <c r="C118" i="9"/>
  <c r="A119" i="9"/>
  <c r="B119" i="9"/>
  <c r="C119" i="9"/>
  <c r="A120" i="9"/>
  <c r="B120" i="9"/>
  <c r="C120" i="9"/>
  <c r="A121" i="9"/>
  <c r="B121" i="9"/>
  <c r="C121" i="9"/>
  <c r="A122" i="9"/>
  <c r="B122" i="9"/>
  <c r="C122" i="9"/>
  <c r="A123" i="9"/>
  <c r="B123" i="9"/>
  <c r="C123" i="9"/>
  <c r="A124" i="9"/>
  <c r="B124" i="9"/>
  <c r="C124" i="9"/>
  <c r="A125" i="9"/>
  <c r="B125" i="9"/>
  <c r="C125" i="9"/>
  <c r="A126" i="9"/>
  <c r="B126" i="9"/>
  <c r="C126" i="9"/>
  <c r="B107" i="9"/>
  <c r="C107" i="9"/>
  <c r="A107" i="9"/>
  <c r="A87" i="9"/>
  <c r="B87" i="9"/>
  <c r="C87" i="9"/>
  <c r="A88" i="9"/>
  <c r="B88" i="9"/>
  <c r="C88" i="9"/>
  <c r="A89" i="9"/>
  <c r="B89" i="9"/>
  <c r="C89" i="9"/>
  <c r="A90" i="9"/>
  <c r="B90" i="9"/>
  <c r="C90" i="9"/>
  <c r="A91" i="9"/>
  <c r="B91" i="9"/>
  <c r="C91" i="9"/>
  <c r="A92" i="9"/>
  <c r="B92" i="9"/>
  <c r="C92" i="9"/>
  <c r="A93" i="9"/>
  <c r="B93" i="9"/>
  <c r="C93" i="9"/>
  <c r="A94" i="9"/>
  <c r="B94" i="9"/>
  <c r="C94" i="9"/>
  <c r="A95" i="9"/>
  <c r="B95" i="9"/>
  <c r="C95" i="9"/>
  <c r="A96" i="9"/>
  <c r="B96" i="9"/>
  <c r="C96" i="9"/>
  <c r="A97" i="9"/>
  <c r="B97" i="9"/>
  <c r="C97" i="9"/>
  <c r="A98" i="9"/>
  <c r="B98" i="9"/>
  <c r="C98" i="9"/>
  <c r="A99" i="9"/>
  <c r="B99" i="9"/>
  <c r="C99" i="9"/>
  <c r="A100" i="9"/>
  <c r="B100" i="9"/>
  <c r="C100" i="9"/>
  <c r="A101" i="9"/>
  <c r="B101" i="9"/>
  <c r="C101" i="9"/>
  <c r="A102" i="9"/>
  <c r="B102" i="9"/>
  <c r="C102" i="9"/>
  <c r="A103" i="9"/>
  <c r="B103" i="9"/>
  <c r="C103" i="9"/>
  <c r="A104" i="9"/>
  <c r="B104" i="9"/>
  <c r="C104" i="9"/>
  <c r="A105" i="9"/>
  <c r="B105" i="9"/>
  <c r="C105" i="9"/>
  <c r="B86" i="9"/>
  <c r="C86" i="9"/>
  <c r="A86" i="9"/>
  <c r="A66" i="9"/>
  <c r="B66" i="9"/>
  <c r="C66" i="9"/>
  <c r="A67" i="9"/>
  <c r="B67" i="9"/>
  <c r="C67" i="9"/>
  <c r="A68" i="9"/>
  <c r="B68" i="9"/>
  <c r="C68" i="9"/>
  <c r="A69" i="9"/>
  <c r="B69" i="9"/>
  <c r="C69" i="9"/>
  <c r="A70" i="9"/>
  <c r="B70" i="9"/>
  <c r="C70" i="9"/>
  <c r="A71" i="9"/>
  <c r="B71" i="9"/>
  <c r="C71" i="9"/>
  <c r="A72" i="9"/>
  <c r="B72" i="9"/>
  <c r="C72" i="9"/>
  <c r="A73" i="9"/>
  <c r="B73" i="9"/>
  <c r="C73" i="9"/>
  <c r="A74" i="9"/>
  <c r="B74" i="9"/>
  <c r="C74" i="9"/>
  <c r="A75" i="9"/>
  <c r="B75" i="9"/>
  <c r="C75" i="9"/>
  <c r="A76" i="9"/>
  <c r="B76" i="9"/>
  <c r="C76" i="9"/>
  <c r="A77" i="9"/>
  <c r="B77" i="9"/>
  <c r="C77" i="9"/>
  <c r="A78" i="9"/>
  <c r="B78" i="9"/>
  <c r="C78" i="9"/>
  <c r="A79" i="9"/>
  <c r="B79" i="9"/>
  <c r="C79" i="9"/>
  <c r="A80" i="9"/>
  <c r="B80" i="9"/>
  <c r="C80" i="9"/>
  <c r="A81" i="9"/>
  <c r="B81" i="9"/>
  <c r="C81" i="9"/>
  <c r="A82" i="9"/>
  <c r="B82" i="9"/>
  <c r="C82" i="9"/>
  <c r="A83" i="9"/>
  <c r="B83" i="9"/>
  <c r="C83" i="9"/>
  <c r="A84" i="9"/>
  <c r="B84" i="9"/>
  <c r="C84" i="9"/>
  <c r="B65" i="9"/>
  <c r="C65" i="9"/>
  <c r="A65" i="9"/>
  <c r="A45" i="9"/>
  <c r="B45" i="9"/>
  <c r="C45" i="9"/>
  <c r="A46" i="9"/>
  <c r="B46" i="9"/>
  <c r="C46" i="9"/>
  <c r="A47" i="9"/>
  <c r="B47" i="9"/>
  <c r="C47" i="9"/>
  <c r="A48" i="9"/>
  <c r="B48" i="9"/>
  <c r="C48" i="9"/>
  <c r="A49" i="9"/>
  <c r="B49" i="9"/>
  <c r="C49" i="9"/>
  <c r="A50" i="9"/>
  <c r="B50" i="9"/>
  <c r="C50" i="9"/>
  <c r="A51" i="9"/>
  <c r="B51" i="9"/>
  <c r="C51" i="9"/>
  <c r="A52" i="9"/>
  <c r="B52" i="9"/>
  <c r="C52" i="9"/>
  <c r="A53" i="9"/>
  <c r="B53" i="9"/>
  <c r="C53" i="9"/>
  <c r="A54" i="9"/>
  <c r="B54" i="9"/>
  <c r="C54" i="9"/>
  <c r="A55" i="9"/>
  <c r="B55" i="9"/>
  <c r="C55" i="9"/>
  <c r="A56" i="9"/>
  <c r="B56" i="9"/>
  <c r="C56" i="9"/>
  <c r="A57" i="9"/>
  <c r="B57" i="9"/>
  <c r="C57" i="9"/>
  <c r="A58" i="9"/>
  <c r="B58" i="9"/>
  <c r="C58" i="9"/>
  <c r="A59" i="9"/>
  <c r="B59" i="9"/>
  <c r="C59" i="9"/>
  <c r="A60" i="9"/>
  <c r="B60" i="9"/>
  <c r="C60" i="9"/>
  <c r="A61" i="9"/>
  <c r="B61" i="9"/>
  <c r="C61" i="9"/>
  <c r="A62" i="9"/>
  <c r="B62" i="9"/>
  <c r="C62" i="9"/>
  <c r="A63" i="9"/>
  <c r="B63" i="9"/>
  <c r="C63" i="9"/>
  <c r="B44" i="9"/>
  <c r="C44" i="9"/>
  <c r="A44" i="9"/>
  <c r="A24" i="9"/>
  <c r="B24" i="9"/>
  <c r="C24" i="9"/>
  <c r="A25" i="9"/>
  <c r="B25" i="9"/>
  <c r="C25" i="9"/>
  <c r="A26" i="9"/>
  <c r="B26" i="9"/>
  <c r="C26" i="9"/>
  <c r="A27" i="9"/>
  <c r="B27" i="9"/>
  <c r="C27" i="9"/>
  <c r="A28" i="9"/>
  <c r="B28" i="9"/>
  <c r="C28" i="9"/>
  <c r="A29" i="9"/>
  <c r="B29" i="9"/>
  <c r="C29" i="9"/>
  <c r="A30" i="9"/>
  <c r="B30" i="9"/>
  <c r="C30" i="9"/>
  <c r="A31" i="9"/>
  <c r="B31" i="9"/>
  <c r="C31" i="9"/>
  <c r="A32" i="9"/>
  <c r="B32" i="9"/>
  <c r="C32" i="9"/>
  <c r="A33" i="9"/>
  <c r="B33" i="9"/>
  <c r="C33" i="9"/>
  <c r="A34" i="9"/>
  <c r="B34" i="9"/>
  <c r="C34" i="9"/>
  <c r="A35" i="9"/>
  <c r="B35" i="9"/>
  <c r="C35" i="9"/>
  <c r="A36" i="9"/>
  <c r="B36" i="9"/>
  <c r="C36" i="9"/>
  <c r="A37" i="9"/>
  <c r="B37" i="9"/>
  <c r="C37" i="9"/>
  <c r="A38" i="9"/>
  <c r="B38" i="9"/>
  <c r="C38" i="9"/>
  <c r="A39" i="9"/>
  <c r="B39" i="9"/>
  <c r="C39" i="9"/>
  <c r="A40" i="9"/>
  <c r="B40" i="9"/>
  <c r="C40" i="9"/>
  <c r="A41" i="9"/>
  <c r="B41" i="9"/>
  <c r="C41" i="9"/>
  <c r="A42" i="9"/>
  <c r="B42" i="9"/>
  <c r="C42" i="9"/>
  <c r="B23" i="9"/>
  <c r="C23" i="9"/>
  <c r="A23" i="9"/>
  <c r="A3" i="9"/>
  <c r="B3" i="9"/>
  <c r="C3" i="9"/>
  <c r="D3" i="9"/>
  <c r="A4" i="9"/>
  <c r="B4" i="9"/>
  <c r="C4" i="9"/>
  <c r="D4" i="9"/>
  <c r="A5" i="9"/>
  <c r="B5" i="9"/>
  <c r="C5" i="9"/>
  <c r="D5" i="9"/>
  <c r="A6" i="9"/>
  <c r="B6" i="9"/>
  <c r="C6" i="9"/>
  <c r="D6" i="9"/>
  <c r="A7" i="9"/>
  <c r="B7" i="9"/>
  <c r="C7" i="9"/>
  <c r="D7" i="9"/>
  <c r="A8" i="9"/>
  <c r="B8" i="9"/>
  <c r="C8" i="9"/>
  <c r="D8" i="9"/>
  <c r="A9" i="9"/>
  <c r="B9" i="9"/>
  <c r="C9" i="9"/>
  <c r="D9" i="9"/>
  <c r="A10" i="9"/>
  <c r="B10" i="9"/>
  <c r="C10" i="9"/>
  <c r="D10" i="9"/>
  <c r="A11" i="9"/>
  <c r="B11" i="9"/>
  <c r="C11" i="9"/>
  <c r="D11" i="9"/>
  <c r="A12" i="9"/>
  <c r="B12" i="9"/>
  <c r="C12" i="9"/>
  <c r="D12" i="9"/>
  <c r="A13" i="9"/>
  <c r="B13" i="9"/>
  <c r="C13" i="9"/>
  <c r="D13" i="9"/>
  <c r="A14" i="9"/>
  <c r="B14" i="9"/>
  <c r="C14" i="9"/>
  <c r="D14" i="9"/>
  <c r="A15" i="9"/>
  <c r="B15" i="9"/>
  <c r="C15" i="9"/>
  <c r="D15" i="9"/>
  <c r="A16" i="9"/>
  <c r="B16" i="9"/>
  <c r="C16" i="9"/>
  <c r="D16" i="9"/>
  <c r="A17" i="9"/>
  <c r="B17" i="9"/>
  <c r="C17" i="9"/>
  <c r="D17" i="9"/>
  <c r="A18" i="9"/>
  <c r="B18" i="9"/>
  <c r="C18" i="9"/>
  <c r="D18" i="9"/>
  <c r="A19" i="9"/>
  <c r="B19" i="9"/>
  <c r="C19" i="9"/>
  <c r="D19" i="9"/>
  <c r="A20" i="9"/>
  <c r="B20" i="9"/>
  <c r="C20" i="9"/>
  <c r="D20" i="9"/>
  <c r="A21" i="9"/>
  <c r="B21" i="9"/>
  <c r="C21" i="9"/>
  <c r="D21" i="9"/>
  <c r="D2" i="9"/>
  <c r="C2" i="9"/>
  <c r="B2" i="9"/>
  <c r="A2" i="9"/>
  <c r="D44" i="1"/>
  <c r="D48" i="1"/>
  <c r="D23" i="1"/>
  <c r="D25" i="1"/>
  <c r="D26" i="1"/>
  <c r="D27" i="1"/>
  <c r="D28" i="1"/>
  <c r="C107" i="1"/>
  <c r="D107" i="1"/>
  <c r="A55" i="1"/>
  <c r="B55" i="1"/>
  <c r="C55" i="1"/>
  <c r="D55" i="1"/>
  <c r="A56" i="1"/>
  <c r="B56" i="1"/>
  <c r="C56" i="1"/>
  <c r="D56" i="1"/>
  <c r="A57" i="1"/>
  <c r="B57" i="1"/>
  <c r="C57" i="1"/>
  <c r="D57" i="1"/>
  <c r="A58" i="1"/>
  <c r="B58" i="1"/>
  <c r="C58" i="1"/>
  <c r="D58" i="1"/>
  <c r="A59" i="1"/>
  <c r="B59" i="1"/>
  <c r="C59" i="1"/>
  <c r="D59" i="1"/>
  <c r="A60" i="1"/>
  <c r="B60" i="1"/>
  <c r="C60" i="1"/>
  <c r="D60" i="1"/>
  <c r="A61" i="1"/>
  <c r="B61" i="1"/>
  <c r="C61" i="1"/>
  <c r="D61" i="1"/>
  <c r="A62" i="1"/>
  <c r="B62" i="1"/>
  <c r="C62" i="1"/>
  <c r="D62" i="1"/>
  <c r="A63" i="1"/>
  <c r="B63" i="1"/>
  <c r="C63" i="1"/>
  <c r="D63" i="1"/>
  <c r="A65" i="1"/>
  <c r="B65" i="1"/>
  <c r="C65" i="1"/>
  <c r="D65" i="1"/>
  <c r="A66" i="1"/>
  <c r="B66" i="1"/>
  <c r="C66" i="1"/>
  <c r="D66" i="1"/>
  <c r="A67" i="1"/>
  <c r="B67" i="1"/>
  <c r="C67" i="1"/>
  <c r="D67" i="1"/>
  <c r="A68" i="1"/>
  <c r="B68" i="1"/>
  <c r="C68" i="1"/>
  <c r="D68" i="1"/>
  <c r="A69" i="1"/>
  <c r="B69" i="1"/>
  <c r="C69" i="1"/>
  <c r="D69" i="1"/>
  <c r="A70" i="1"/>
  <c r="B70" i="1"/>
  <c r="C70" i="1"/>
  <c r="D70" i="1"/>
  <c r="A71" i="1"/>
  <c r="B71" i="1"/>
  <c r="C71" i="1"/>
  <c r="D71" i="1"/>
  <c r="A72" i="1"/>
  <c r="B72" i="1"/>
  <c r="C72" i="1"/>
  <c r="D72" i="1"/>
  <c r="A73" i="1"/>
  <c r="B73" i="1"/>
  <c r="C73" i="1"/>
  <c r="D73" i="1"/>
  <c r="A74" i="1"/>
  <c r="B74" i="1"/>
  <c r="C74" i="1"/>
  <c r="D74" i="1"/>
  <c r="A75" i="1"/>
  <c r="B75" i="1"/>
  <c r="C75" i="1"/>
  <c r="D75" i="1"/>
  <c r="A76" i="1"/>
  <c r="B76" i="1"/>
  <c r="C76" i="1"/>
  <c r="D76" i="1"/>
  <c r="A77" i="1"/>
  <c r="B77" i="1"/>
  <c r="C77" i="1"/>
  <c r="D77" i="1"/>
  <c r="A78" i="1"/>
  <c r="B78" i="1"/>
  <c r="C78" i="1"/>
  <c r="D78" i="1"/>
  <c r="A79" i="1"/>
  <c r="B79" i="1"/>
  <c r="C79" i="1"/>
  <c r="D79" i="1"/>
  <c r="A80" i="1"/>
  <c r="B80" i="1"/>
  <c r="C80" i="1"/>
  <c r="D80" i="1"/>
  <c r="A81" i="1"/>
  <c r="B81" i="1"/>
  <c r="C81" i="1"/>
  <c r="D81" i="1"/>
  <c r="A82" i="1"/>
  <c r="B82" i="1"/>
  <c r="C82" i="1"/>
  <c r="D82" i="1"/>
  <c r="A83" i="1"/>
  <c r="B83" i="1"/>
  <c r="C83" i="1"/>
  <c r="D83" i="1"/>
  <c r="A84" i="1"/>
  <c r="B84" i="1"/>
  <c r="C84" i="1"/>
  <c r="D84" i="1"/>
  <c r="A86" i="1"/>
  <c r="B86" i="1"/>
  <c r="C86" i="1"/>
  <c r="D86" i="1"/>
  <c r="A87" i="1"/>
  <c r="B87" i="1"/>
  <c r="C87" i="1"/>
  <c r="D87" i="1"/>
  <c r="A88" i="1"/>
  <c r="B88" i="1"/>
  <c r="C88" i="1"/>
  <c r="D88" i="1"/>
  <c r="A89" i="1"/>
  <c r="B89" i="1"/>
  <c r="C89" i="1"/>
  <c r="D89" i="1"/>
  <c r="A90" i="1"/>
  <c r="B90" i="1"/>
  <c r="C90" i="1"/>
  <c r="D90" i="1"/>
  <c r="A91" i="1"/>
  <c r="B91" i="1"/>
  <c r="C91" i="1"/>
  <c r="D91" i="1"/>
  <c r="A92" i="1"/>
  <c r="B92" i="1"/>
  <c r="C92" i="1"/>
  <c r="D92" i="1"/>
  <c r="A93" i="1"/>
  <c r="B93" i="1"/>
  <c r="C93" i="1"/>
  <c r="D93" i="1"/>
  <c r="A94" i="1"/>
  <c r="B94" i="1"/>
  <c r="C94" i="1"/>
  <c r="D94" i="1"/>
  <c r="A95" i="1"/>
  <c r="B95" i="1"/>
  <c r="C95" i="1"/>
  <c r="D95" i="1"/>
  <c r="A96" i="1"/>
  <c r="B96" i="1"/>
  <c r="C96" i="1"/>
  <c r="D96" i="1"/>
  <c r="A97" i="1"/>
  <c r="B97" i="1"/>
  <c r="C97" i="1"/>
  <c r="D97" i="1"/>
  <c r="A98" i="1"/>
  <c r="B98" i="1"/>
  <c r="C98" i="1"/>
  <c r="D98" i="1"/>
  <c r="A99" i="1"/>
  <c r="B99" i="1"/>
  <c r="C99" i="1"/>
  <c r="D99" i="1"/>
  <c r="A100" i="1"/>
  <c r="B100" i="1"/>
  <c r="C100" i="1"/>
  <c r="D100" i="1"/>
  <c r="A101" i="1"/>
  <c r="B101" i="1"/>
  <c r="C101" i="1"/>
  <c r="D101" i="1"/>
  <c r="A102" i="1"/>
  <c r="B102" i="1"/>
  <c r="C102" i="1"/>
  <c r="D102" i="1"/>
  <c r="A103" i="1"/>
  <c r="B103" i="1"/>
  <c r="C103" i="1"/>
  <c r="D103" i="1"/>
  <c r="A104" i="1"/>
  <c r="B104" i="1"/>
  <c r="C104" i="1"/>
  <c r="D104" i="1"/>
  <c r="A105" i="1"/>
  <c r="B105" i="1"/>
  <c r="C105" i="1"/>
  <c r="D105" i="1"/>
  <c r="A107" i="1"/>
  <c r="A108" i="1"/>
  <c r="B108" i="1"/>
  <c r="C108" i="1"/>
  <c r="D108" i="1"/>
  <c r="A109" i="1"/>
  <c r="B109" i="1"/>
  <c r="C109" i="1"/>
  <c r="D109" i="1"/>
  <c r="A110" i="1"/>
  <c r="B110" i="1"/>
  <c r="C110" i="1"/>
  <c r="D110" i="1"/>
  <c r="A111" i="1"/>
  <c r="B111" i="1"/>
  <c r="C111" i="1"/>
  <c r="D111" i="1"/>
  <c r="A112" i="1"/>
  <c r="B112" i="1"/>
  <c r="C112" i="1"/>
  <c r="D112" i="1"/>
  <c r="A113" i="1"/>
  <c r="B113" i="1"/>
  <c r="C113" i="1"/>
  <c r="D113" i="1"/>
  <c r="A114" i="1"/>
  <c r="B114" i="1"/>
  <c r="C114" i="1"/>
  <c r="D114" i="1"/>
  <c r="A115" i="1"/>
  <c r="B115" i="1"/>
  <c r="C115" i="1"/>
  <c r="D115" i="1"/>
  <c r="A116" i="1"/>
  <c r="B116" i="1"/>
  <c r="C116" i="1"/>
  <c r="D116" i="1"/>
  <c r="A117" i="1"/>
  <c r="B117" i="1"/>
  <c r="C117" i="1"/>
  <c r="D117" i="1"/>
  <c r="A118" i="1"/>
  <c r="B118" i="1"/>
  <c r="C118" i="1"/>
  <c r="D118" i="1"/>
  <c r="A119" i="1"/>
  <c r="B119" i="1"/>
  <c r="C119" i="1"/>
  <c r="D119" i="1"/>
  <c r="A120" i="1"/>
  <c r="B120" i="1"/>
  <c r="C120" i="1"/>
  <c r="D120" i="1"/>
  <c r="A121" i="1"/>
  <c r="B121" i="1"/>
  <c r="C121" i="1"/>
  <c r="D121" i="1"/>
  <c r="A122" i="1"/>
  <c r="B122" i="1"/>
  <c r="C122" i="1"/>
  <c r="D122" i="1"/>
  <c r="A123" i="1"/>
  <c r="B123" i="1"/>
  <c r="C123" i="1"/>
  <c r="D123" i="1"/>
  <c r="A124" i="1"/>
  <c r="B124" i="1"/>
  <c r="C124" i="1"/>
  <c r="D124" i="1"/>
  <c r="A125" i="1"/>
  <c r="B125" i="1"/>
  <c r="C125" i="1"/>
  <c r="D125" i="1"/>
  <c r="A126" i="1"/>
  <c r="B126" i="1"/>
  <c r="C126" i="1"/>
  <c r="D126" i="1"/>
  <c r="A3" i="1"/>
  <c r="B3" i="1"/>
  <c r="C3" i="1"/>
  <c r="D3" i="1"/>
  <c r="A4" i="1"/>
  <c r="B4" i="1"/>
  <c r="C4" i="1"/>
  <c r="D4" i="1"/>
  <c r="A5" i="1"/>
  <c r="B5" i="1"/>
  <c r="C5" i="1"/>
  <c r="D5" i="1"/>
  <c r="A6" i="1"/>
  <c r="B6" i="1"/>
  <c r="C6" i="1"/>
  <c r="D6" i="1"/>
  <c r="A7" i="1"/>
  <c r="B7" i="1"/>
  <c r="C7" i="1"/>
  <c r="D7" i="1"/>
  <c r="A8" i="1"/>
  <c r="B8" i="1"/>
  <c r="C8" i="1"/>
  <c r="D8" i="1"/>
  <c r="A9" i="1"/>
  <c r="B9" i="1"/>
  <c r="C9" i="1"/>
  <c r="D9" i="1"/>
  <c r="A10" i="1"/>
  <c r="B10" i="1"/>
  <c r="C10" i="1"/>
  <c r="D10" i="1"/>
  <c r="A11" i="1"/>
  <c r="B11" i="1"/>
  <c r="C11" i="1"/>
  <c r="D11" i="1"/>
  <c r="A12" i="1"/>
  <c r="B12" i="1"/>
  <c r="C12" i="1"/>
  <c r="D12" i="1"/>
  <c r="A13" i="1"/>
  <c r="B13" i="1"/>
  <c r="C13" i="1"/>
  <c r="D13" i="1"/>
  <c r="A14" i="1"/>
  <c r="B14" i="1"/>
  <c r="C14" i="1"/>
  <c r="D14" i="1"/>
  <c r="A15" i="1"/>
  <c r="B15" i="1"/>
  <c r="C15" i="1"/>
  <c r="D15" i="1"/>
  <c r="A16" i="1"/>
  <c r="B16" i="1"/>
  <c r="C16" i="1"/>
  <c r="D16" i="1"/>
  <c r="A17" i="1"/>
  <c r="B17" i="1"/>
  <c r="C17" i="1"/>
  <c r="D17" i="1"/>
  <c r="A18" i="1"/>
  <c r="B18" i="1"/>
  <c r="C18" i="1"/>
  <c r="D18" i="1"/>
  <c r="A19" i="1"/>
  <c r="B19" i="1"/>
  <c r="C19" i="1"/>
  <c r="D19" i="1"/>
  <c r="A20" i="1"/>
  <c r="B20" i="1"/>
  <c r="C20" i="1"/>
  <c r="D20" i="1"/>
  <c r="A21" i="1"/>
  <c r="B21" i="1"/>
  <c r="C21" i="1"/>
  <c r="D21" i="1"/>
  <c r="A23" i="1"/>
  <c r="B23" i="1"/>
  <c r="C23" i="1"/>
  <c r="A24" i="1"/>
  <c r="B24" i="1"/>
  <c r="C24" i="1"/>
  <c r="D24" i="1"/>
  <c r="A25" i="1"/>
  <c r="B25" i="1"/>
  <c r="C25" i="1"/>
  <c r="A26" i="1"/>
  <c r="B26" i="1"/>
  <c r="C26" i="1"/>
  <c r="A27" i="1"/>
  <c r="B27" i="1"/>
  <c r="C27" i="1"/>
  <c r="A28" i="1"/>
  <c r="B28" i="1"/>
  <c r="C28" i="1"/>
  <c r="A29" i="1"/>
  <c r="B29" i="1"/>
  <c r="C29" i="1"/>
  <c r="D29" i="1"/>
  <c r="A30" i="1"/>
  <c r="B30" i="1"/>
  <c r="C30" i="1"/>
  <c r="D30" i="1"/>
  <c r="A31" i="1"/>
  <c r="B31" i="1"/>
  <c r="C31" i="1"/>
  <c r="D31" i="1"/>
  <c r="A32" i="1"/>
  <c r="B32" i="1"/>
  <c r="C32" i="1"/>
  <c r="D32" i="1"/>
  <c r="A33" i="1"/>
  <c r="B33" i="1"/>
  <c r="C33" i="1"/>
  <c r="D33" i="1"/>
  <c r="A34" i="1"/>
  <c r="B34" i="1"/>
  <c r="C34" i="1"/>
  <c r="D34" i="1"/>
  <c r="A35" i="1"/>
  <c r="B35" i="1"/>
  <c r="C35" i="1"/>
  <c r="D35" i="1"/>
  <c r="A36" i="1"/>
  <c r="B36" i="1"/>
  <c r="C36" i="1"/>
  <c r="D36" i="1"/>
  <c r="A37" i="1"/>
  <c r="B37" i="1"/>
  <c r="C37" i="1"/>
  <c r="D37" i="1"/>
  <c r="A38" i="1"/>
  <c r="B38" i="1"/>
  <c r="C38" i="1"/>
  <c r="D38" i="1"/>
  <c r="A39" i="1"/>
  <c r="B39" i="1"/>
  <c r="C39" i="1"/>
  <c r="D39" i="1"/>
  <c r="A40" i="1"/>
  <c r="B40" i="1"/>
  <c r="C40" i="1"/>
  <c r="D40" i="1"/>
  <c r="A41" i="1"/>
  <c r="B41" i="1"/>
  <c r="C41" i="1"/>
  <c r="D41" i="1"/>
  <c r="A42" i="1"/>
  <c r="B42" i="1"/>
  <c r="C42" i="1"/>
  <c r="D42" i="1"/>
  <c r="A44" i="1"/>
  <c r="B44" i="1"/>
  <c r="C44" i="1"/>
  <c r="A45" i="1"/>
  <c r="B45" i="1"/>
  <c r="C45" i="1"/>
  <c r="D45" i="1"/>
  <c r="A46" i="1"/>
  <c r="B46" i="1"/>
  <c r="C46" i="1"/>
  <c r="D46" i="1"/>
  <c r="A47" i="1"/>
  <c r="B47" i="1"/>
  <c r="C47" i="1"/>
  <c r="D47" i="1"/>
  <c r="A48" i="1"/>
  <c r="B48" i="1"/>
  <c r="C48" i="1"/>
  <c r="A49" i="1"/>
  <c r="B49" i="1"/>
  <c r="C49" i="1"/>
  <c r="D49" i="1"/>
  <c r="A50" i="1"/>
  <c r="B50" i="1"/>
  <c r="C50" i="1"/>
  <c r="D50" i="1"/>
  <c r="A51" i="1"/>
  <c r="B51" i="1"/>
  <c r="C51" i="1"/>
  <c r="D51" i="1"/>
  <c r="A52" i="1"/>
  <c r="B52" i="1"/>
  <c r="C52" i="1"/>
  <c r="D52" i="1"/>
  <c r="A53" i="1"/>
  <c r="B53" i="1"/>
  <c r="C53" i="1"/>
  <c r="D53" i="1"/>
  <c r="A54" i="1"/>
  <c r="B54" i="1"/>
  <c r="C54" i="1"/>
  <c r="D54" i="1"/>
  <c r="D2" i="1"/>
  <c r="C2" i="1"/>
  <c r="B2" i="1"/>
  <c r="A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3C0E87-7B6A-4544-8161-545C5639979F}" keepAlive="1" name="Zapytanie — test_results_summary" description="Połączenie z zapytaniem „test_results_summary” w skoroszycie." type="5" refreshedVersion="0" background="1">
    <dbPr connection="Provider=Microsoft.Mashup.OleDb.1;Data Source=$Workbook$;Location=test_results_summary;Extended Properties=&quot;&quot;" command="SELECT * FROM [test_results_summary]"/>
  </connection>
  <connection id="2" xr16:uid="{58A6239D-2C4C-46AE-8ADB-A7AB3A8D383E}" keepAlive="1" name="Zapytanie — test_results_summary (10)" description="Połączenie z zapytaniem „test_results_summary (10)” w skoroszycie." type="5" refreshedVersion="0" background="1">
    <dbPr connection="Provider=Microsoft.Mashup.OleDb.1;Data Source=$Workbook$;Location=&quot;test_results_summary (10)&quot;;Extended Properties=&quot;&quot;" command="SELECT * FROM [test_results_summary (10)]"/>
  </connection>
  <connection id="3" xr16:uid="{595C9105-34FF-4F31-BBE8-2D646CA2A85E}" keepAlive="1" name="Zapytanie — test_results_summary (11)" description="Połączenie z zapytaniem „test_results_summary (11)” w skoroszycie." type="5" refreshedVersion="0" background="1">
    <dbPr connection="Provider=Microsoft.Mashup.OleDb.1;Data Source=$Workbook$;Location=&quot;test_results_summary (11)&quot;;Extended Properties=&quot;&quot;" command="SELECT * FROM [test_results_summary (11)]"/>
  </connection>
  <connection id="4" xr16:uid="{9E1D545C-DFDA-48D7-A49F-7E582106CD0F}" keepAlive="1" name="Zapytanie — test_results_summary (12)" description="Połączenie z zapytaniem „test_results_summary (12)” w skoroszycie." type="5" refreshedVersion="0" background="1">
    <dbPr connection="Provider=Microsoft.Mashup.OleDb.1;Data Source=$Workbook$;Location=&quot;test_results_summary (12)&quot;;Extended Properties=&quot;&quot;" command="SELECT * FROM [test_results_summary (12)]"/>
  </connection>
  <connection id="5" xr16:uid="{E7A1307F-6B8C-4FC5-950E-61161F31D0D9}" keepAlive="1" name="Zapytanie — test_results_summary (13)" description="Połączenie z zapytaniem „test_results_summary (13)” w skoroszycie." type="5" refreshedVersion="0" background="1">
    <dbPr connection="Provider=Microsoft.Mashup.OleDb.1;Data Source=$Workbook$;Location=&quot;test_results_summary (13)&quot;;Extended Properties=&quot;&quot;" command="SELECT * FROM [test_results_summary (13)]"/>
  </connection>
  <connection id="6" xr16:uid="{EE942332-7F60-4346-81C0-EC3215F6CABF}" keepAlive="1" name="Zapytanie — test_results_summary (14)" description="Połączenie z zapytaniem „test_results_summary (14)” w skoroszycie." type="5" refreshedVersion="0" background="1">
    <dbPr connection="Provider=Microsoft.Mashup.OleDb.1;Data Source=$Workbook$;Location=&quot;test_results_summary (14)&quot;;Extended Properties=&quot;&quot;" command="SELECT * FROM [test_results_summary (14)]"/>
  </connection>
  <connection id="7" xr16:uid="{544F874F-4946-4671-ADF4-1D21716B11C8}" keepAlive="1" name="Zapytanie — test_results_summary (2)" description="Połączenie z zapytaniem „test_results_summary (2)” w skoroszycie." type="5" refreshedVersion="0" background="1">
    <dbPr connection="Provider=Microsoft.Mashup.OleDb.1;Data Source=$Workbook$;Location=&quot;test_results_summary (2)&quot;;Extended Properties=&quot;&quot;" command="SELECT * FROM [test_results_summary (2)]"/>
  </connection>
  <connection id="8" xr16:uid="{E11985D5-098B-4306-9BA5-70CAB6CE5410}" keepAlive="1" name="Zapytanie — test_results_summary (3)" description="Połączenie z zapytaniem „test_results_summary (3)” w skoroszycie." type="5" refreshedVersion="0" background="1">
    <dbPr connection="Provider=Microsoft.Mashup.OleDb.1;Data Source=$Workbook$;Location=&quot;test_results_summary (3)&quot;;Extended Properties=&quot;&quot;" command="SELECT * FROM [test_results_summary (3)]"/>
  </connection>
  <connection id="9" xr16:uid="{A8DDCABD-5423-478B-9E40-1CB3E3038392}" keepAlive="1" name="Zapytanie — test_results_summary (4)" description="Połączenie z zapytaniem „test_results_summary (4)” w skoroszycie." type="5" refreshedVersion="0" background="1">
    <dbPr connection="Provider=Microsoft.Mashup.OleDb.1;Data Source=$Workbook$;Location=&quot;test_results_summary (4)&quot;;Extended Properties=&quot;&quot;" command="SELECT * FROM [test_results_summary (4)]"/>
  </connection>
  <connection id="10" xr16:uid="{6D56D6BA-C4DB-4CFB-B579-83D8AEE7B0E6}" keepAlive="1" name="Zapytanie — test_results_summary (5)" description="Połączenie z zapytaniem „test_results_summary (5)” w skoroszycie." type="5" refreshedVersion="0" background="1">
    <dbPr connection="Provider=Microsoft.Mashup.OleDb.1;Data Source=$Workbook$;Location=&quot;test_results_summary (5)&quot;;Extended Properties=&quot;&quot;" command="SELECT * FROM [test_results_summary (5)]"/>
  </connection>
  <connection id="11" xr16:uid="{3C431F13-A199-47C7-A69E-456050A188B4}" keepAlive="1" name="Zapytanie — test_results_summary (6)" description="Połączenie z zapytaniem „test_results_summary (6)” w skoroszycie." type="5" refreshedVersion="0" background="1">
    <dbPr connection="Provider=Microsoft.Mashup.OleDb.1;Data Source=$Workbook$;Location=&quot;test_results_summary (6)&quot;;Extended Properties=&quot;&quot;" command="SELECT * FROM [test_results_summary (6)]"/>
  </connection>
  <connection id="12" xr16:uid="{E61FEC0D-B68D-429D-925E-09631D5E99A5}" keepAlive="1" name="Zapytanie — test_results_summary (7)" description="Połączenie z zapytaniem „test_results_summary (7)” w skoroszycie." type="5" refreshedVersion="0" background="1">
    <dbPr connection="Provider=Microsoft.Mashup.OleDb.1;Data Source=$Workbook$;Location=&quot;test_results_summary (7)&quot;;Extended Properties=&quot;&quot;" command="SELECT * FROM [test_results_summary (7)]"/>
  </connection>
  <connection id="13" xr16:uid="{11BCAD2B-5DAF-4AE4-A0C2-93A3086E1AF9}" keepAlive="1" name="Zapytanie — test_results_summary (8)" description="Połączenie z zapytaniem „test_results_summary (8)” w skoroszycie." type="5" refreshedVersion="0" background="1">
    <dbPr connection="Provider=Microsoft.Mashup.OleDb.1;Data Source=$Workbook$;Location=&quot;test_results_summary (8)&quot;;Extended Properties=&quot;&quot;" command="SELECT * FROM [test_results_summary (8)]"/>
  </connection>
  <connection id="14" xr16:uid="{7A081C81-03FB-4AB6-BF60-78CC9E273409}" keepAlive="1" name="Zapytanie — test_results_summary (9)" description="Połączenie z zapytaniem „test_results_summary (9)” w skoroszycie." type="5" refreshedVersion="0" background="1">
    <dbPr connection="Provider=Microsoft.Mashup.OleDb.1;Data Source=$Workbook$;Location=&quot;test_results_summary (9)&quot;;Extended Properties=&quot;&quot;" command="SELECT * FROM [test_results_summary (9)]"/>
  </connection>
</connections>
</file>

<file path=xl/sharedStrings.xml><?xml version="1.0" encoding="utf-8"?>
<sst xmlns="http://schemas.openxmlformats.org/spreadsheetml/2006/main" count="1710" uniqueCount="57">
  <si>
    <t>test_id</t>
  </si>
  <si>
    <t>dataset_name</t>
  </si>
  <si>
    <t>classifier_name</t>
  </si>
  <si>
    <t>reduction_name</t>
  </si>
  <si>
    <t>training_time</t>
  </si>
  <si>
    <t>train_set_size</t>
  </si>
  <si>
    <t>test_set_size</t>
  </si>
  <si>
    <t>execution_time</t>
  </si>
  <si>
    <t>correct_predictions</t>
  </si>
  <si>
    <t>incorrect_predictions</t>
  </si>
  <si>
    <t>accuracy</t>
  </si>
  <si>
    <t>precision</t>
  </si>
  <si>
    <t>recall</t>
  </si>
  <si>
    <t>f1_score</t>
  </si>
  <si>
    <t>pixel_normalization_rate</t>
  </si>
  <si>
    <t>num_segments</t>
  </si>
  <si>
    <t>training_set_limit</t>
  </si>
  <si>
    <t>n_components</t>
  </si>
  <si>
    <t>MNIST</t>
  </si>
  <si>
    <t>K-Nearest Neighbors</t>
  </si>
  <si>
    <t>Brak redukcji</t>
  </si>
  <si>
    <t>XGBoost</t>
  </si>
  <si>
    <t>Multi-Layer Perceptron</t>
  </si>
  <si>
    <t>Support Vector Machine</t>
  </si>
  <si>
    <t>PCA</t>
  </si>
  <si>
    <t>LDA</t>
  </si>
  <si>
    <t>Flood Fill</t>
  </si>
  <si>
    <t>Fashion-MNIST</t>
  </si>
  <si>
    <t>EMNIST-Balanced</t>
  </si>
  <si>
    <t>EMNIST-Digits</t>
  </si>
  <si>
    <t>USPS</t>
  </si>
  <si>
    <t>Arabic</t>
  </si>
  <si>
    <t>Dataset</t>
  </si>
  <si>
    <t>Reduction</t>
  </si>
  <si>
    <t>Accuracy</t>
  </si>
  <si>
    <t>Etykiety kolumn</t>
  </si>
  <si>
    <t>Etykiety wierszy</t>
  </si>
  <si>
    <t>Maksimum z Accuracy</t>
  </si>
  <si>
    <t>Classification</t>
  </si>
  <si>
    <t>UMAP</t>
  </si>
  <si>
    <t>MNIST-C (Identity)</t>
  </si>
  <si>
    <t>MNIST-C (Brightness)</t>
  </si>
  <si>
    <t>MNIST-C (Canny Edges)</t>
  </si>
  <si>
    <t>MNIST-C (Dotted Line)</t>
  </si>
  <si>
    <t>MNIST-C (Fog)</t>
  </si>
  <si>
    <t>MNIST-C (Glass Blur)</t>
  </si>
  <si>
    <t>MNIST-C (Impulse Noise)</t>
  </si>
  <si>
    <t>MNIST-C (Motion Blur)</t>
  </si>
  <si>
    <t>MNIST-C (Rotate)</t>
  </si>
  <si>
    <t>MNIST-C (Scale)</t>
  </si>
  <si>
    <t>MNIST-C (Shear)</t>
  </si>
  <si>
    <t>MNIST-C (Shot Noise)</t>
  </si>
  <si>
    <t>MNIST-C (Spatter)</t>
  </si>
  <si>
    <t>MNIST-C (Stripe)</t>
  </si>
  <si>
    <t>MNIST-C (Translate)</t>
  </si>
  <si>
    <t>MNIST-C (Zigzag)</t>
  </si>
  <si>
    <t>Suma z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</si>
</sst>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Font="1" applyBorder="1"/>
    <xf numFmtId="0" fontId="0" fillId="0" borderId="2" xfId="0" applyFont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4" borderId="3" xfId="0" applyFont="1" applyFill="1" applyBorder="1"/>
    <xf numFmtId="0" fontId="0" fillId="4" borderId="4" xfId="0" applyNumberFormat="1" applyFont="1" applyFill="1" applyBorder="1"/>
    <xf numFmtId="0" fontId="0" fillId="4" borderId="4" xfId="0" applyFont="1" applyFill="1" applyBorder="1"/>
    <xf numFmtId="0" fontId="0" fillId="4" borderId="5" xfId="0" applyFont="1" applyFill="1" applyBorder="1"/>
    <xf numFmtId="0" fontId="0" fillId="0" borderId="3" xfId="0" applyFont="1" applyBorder="1"/>
    <xf numFmtId="0" fontId="0" fillId="0" borderId="4" xfId="0" applyNumberFormat="1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2" xfId="0" applyNumberFormat="1" applyFont="1" applyBorder="1"/>
    <xf numFmtId="0" fontId="0" fillId="0" borderId="6" xfId="0" applyFont="1" applyBorder="1"/>
    <xf numFmtId="0" fontId="0" fillId="2" borderId="7" xfId="0" applyFont="1" applyFill="1" applyBorder="1"/>
    <xf numFmtId="0" fontId="0" fillId="2" borderId="8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2" borderId="9" xfId="0" applyFont="1" applyFill="1" applyBorder="1"/>
    <xf numFmtId="0" fontId="1" fillId="5" borderId="10" xfId="0" applyFont="1" applyFill="1" applyBorder="1"/>
    <xf numFmtId="0" fontId="1" fillId="5" borderId="11" xfId="0" applyFont="1" applyFill="1" applyBorder="1"/>
    <xf numFmtId="0" fontId="1" fillId="5" borderId="12" xfId="0" applyFont="1" applyFill="1" applyBorder="1"/>
    <xf numFmtId="0" fontId="0" fillId="2" borderId="10" xfId="0" applyFont="1" applyFill="1" applyBorder="1"/>
    <xf numFmtId="0" fontId="0" fillId="2" borderId="11" xfId="0" applyNumberFormat="1" applyFont="1" applyFill="1" applyBorder="1"/>
    <xf numFmtId="0" fontId="0" fillId="2" borderId="11" xfId="0" applyFont="1" applyFill="1" applyBorder="1"/>
    <xf numFmtId="0" fontId="0" fillId="2" borderId="12" xfId="0" applyFont="1" applyFill="1" applyBorder="1"/>
    <xf numFmtId="0" fontId="0" fillId="0" borderId="10" xfId="0" applyFont="1" applyBorder="1"/>
    <xf numFmtId="0" fontId="0" fillId="0" borderId="11" xfId="0" applyNumberFormat="1" applyFont="1" applyBorder="1"/>
    <xf numFmtId="0" fontId="0" fillId="0" borderId="11" xfId="0" applyFont="1" applyBorder="1"/>
    <xf numFmtId="0" fontId="0" fillId="0" borderId="12" xfId="0" applyFont="1" applyBorder="1"/>
    <xf numFmtId="0" fontId="0" fillId="2" borderId="8" xfId="0" applyNumberFormat="1" applyFont="1" applyFill="1" applyBorder="1"/>
    <xf numFmtId="0" fontId="0" fillId="0" borderId="8" xfId="0" applyNumberFormat="1" applyFont="1" applyBorder="1"/>
    <xf numFmtId="10" fontId="0" fillId="0" borderId="0" xfId="0" applyNumberFormat="1"/>
  </cellXfs>
  <cellStyles count="1">
    <cellStyle name="Normalny" xfId="0" builtinId="0"/>
  </cellStyles>
  <dxfs count="17">
    <dxf>
      <numFmt numFmtId="14" formatCode="0.00%"/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9.xml"/><Relationship Id="rId18" Type="http://schemas.openxmlformats.org/officeDocument/2006/relationships/pivotCacheDefinition" Target="pivotCache/pivotCacheDefinition14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pivotCacheDefinition" Target="pivotCache/pivotCacheDefinition13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2.xml"/><Relationship Id="rId20" Type="http://schemas.openxmlformats.org/officeDocument/2006/relationships/pivotCacheDefinition" Target="pivotCache/pivotCacheDefinition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2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11.xml"/><Relationship Id="rId23" Type="http://schemas.openxmlformats.org/officeDocument/2006/relationships/styles" Target="styles.xml"/><Relationship Id="rId10" Type="http://schemas.openxmlformats.org/officeDocument/2006/relationships/pivotCacheDefinition" Target="pivotCache/pivotCacheDefinition6.xml"/><Relationship Id="rId19" Type="http://schemas.openxmlformats.org/officeDocument/2006/relationships/pivotCacheDefinition" Target="pivotCache/pivotCacheDefinition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Relationship Id="rId22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ta" refreshedDate="45956.957775347226" createdVersion="8" refreshedVersion="8" minRefreshableVersion="3" recordCount="20" xr:uid="{D034DFBF-2D81-48A3-92BC-30D0128A084C}">
  <cacheSource type="worksheet">
    <worksheetSource ref="B1:D21" sheet="Tabele"/>
  </cacheSource>
  <cacheFields count="3">
    <cacheField name="Classification" numFmtId="0">
      <sharedItems count="4">
        <s v="K-Nearest Neighbors"/>
        <s v="Multi-Layer Perceptron"/>
        <s v="Support Vector Machine"/>
        <s v="XGBoost"/>
      </sharedItems>
    </cacheField>
    <cacheField name="Reduction" numFmtId="0">
      <sharedItems count="6">
        <s v="Brak redukcji"/>
        <s v="Flood Fill"/>
        <s v="LDA"/>
        <s v="PCA"/>
        <s v="UMAP"/>
        <s v="t-SNE" u="1"/>
      </sharedItems>
    </cacheField>
    <cacheField name="Accuracy" numFmtId="0">
      <sharedItems containsSemiMixedTypes="0" containsString="0" containsNumber="1" minValue="0.95150000000000001" maxValue="0.98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ta" refreshedDate="45956.964296759259" createdVersion="8" refreshedVersion="8" minRefreshableVersion="3" recordCount="20" xr:uid="{805B5AB2-4415-4C56-A559-454F1C953F3B}">
  <cacheSource type="worksheet">
    <worksheetSource ref="B22:D42" sheet="Tabele"/>
  </cacheSource>
  <cacheFields count="3">
    <cacheField name="Classification" numFmtId="0">
      <sharedItems count="4">
        <s v="K-Nearest Neighbors"/>
        <s v="Multi-Layer Perceptron"/>
        <s v="Support Vector Machine"/>
        <s v="XGBoost"/>
      </sharedItems>
    </cacheField>
    <cacheField name="Reduction" numFmtId="0">
      <sharedItems count="6">
        <s v="Brak redukcji"/>
        <s v="Flood Fill"/>
        <s v="LDA"/>
        <s v="PCA"/>
        <s v="UMAP"/>
        <s v="t-SNE" u="1"/>
      </sharedItems>
    </cacheField>
    <cacheField name="Accuracy" numFmtId="0">
      <sharedItems containsSemiMixedTypes="0" containsString="0" containsNumber="1" minValue="0.66239361702127597" maxValue="0.850797872340425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ta" refreshedDate="45956.964321180552" createdVersion="8" refreshedVersion="8" minRefreshableVersion="3" recordCount="20" xr:uid="{243E94E5-6F2F-4D06-9288-5B66282A2866}">
  <cacheSource type="worksheet">
    <worksheetSource ref="A43:D63" sheet="Tabele"/>
  </cacheSource>
  <cacheFields count="4">
    <cacheField name="Dataset" numFmtId="0">
      <sharedItems/>
    </cacheField>
    <cacheField name="Classification" numFmtId="0">
      <sharedItems count="4">
        <s v="K-Nearest Neighbors"/>
        <s v="Multi-Layer Perceptron"/>
        <s v="Support Vector Machine"/>
        <s v="XGBoost"/>
      </sharedItems>
    </cacheField>
    <cacheField name="Reduction" numFmtId="0">
      <sharedItems count="6">
        <s v="Brak redukcji"/>
        <s v="Flood Fill"/>
        <s v="LDA"/>
        <s v="PCA"/>
        <s v="UMAP"/>
        <s v="t-SNE" u="1"/>
      </sharedItems>
    </cacheField>
    <cacheField name="Accuracy" numFmtId="0">
      <sharedItems containsSemiMixedTypes="0" containsString="0" containsNumber="1" minValue="0.92044999999999999" maxValue="0.99065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ta" refreshedDate="45956.964352314812" createdVersion="8" refreshedVersion="8" minRefreshableVersion="3" recordCount="20" xr:uid="{A68E57D4-0E26-41BC-BEDD-54B1F61A8B7A}">
  <cacheSource type="worksheet">
    <worksheetSource ref="A64:D84" sheet="Tabele"/>
  </cacheSource>
  <cacheFields count="4">
    <cacheField name="Dataset" numFmtId="0">
      <sharedItems/>
    </cacheField>
    <cacheField name="Classification" numFmtId="0">
      <sharedItems count="4">
        <s v="K-Nearest Neighbors"/>
        <s v="Multi-Layer Perceptron"/>
        <s v="Support Vector Machine"/>
        <s v="XGBoost"/>
      </sharedItems>
    </cacheField>
    <cacheField name="Reduction" numFmtId="0">
      <sharedItems count="6">
        <s v="Brak redukcji"/>
        <s v="Flood Fill"/>
        <s v="LDA"/>
        <s v="PCA"/>
        <s v="UMAP"/>
        <s v="t-SNE" u="1"/>
      </sharedItems>
    </cacheField>
    <cacheField name="Accuracy" numFmtId="0">
      <sharedItems containsSemiMixedTypes="0" containsString="0" containsNumber="1" minValue="0.77290000000000003" maxValue="0.8840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ta" refreshedDate="45956.964423495374" createdVersion="8" refreshedVersion="8" minRefreshableVersion="3" recordCount="20" xr:uid="{12028B59-E0E7-44A0-B4FD-D649B7F56E57}">
  <cacheSource type="worksheet">
    <worksheetSource ref="A85:D105" sheet="Tabele"/>
  </cacheSource>
  <cacheFields count="4">
    <cacheField name="Dataset" numFmtId="0">
      <sharedItems/>
    </cacheField>
    <cacheField name="Classification" numFmtId="0">
      <sharedItems count="4">
        <s v="K-Nearest Neighbors"/>
        <s v="Multi-Layer Perceptron"/>
        <s v="Support Vector Machine"/>
        <s v="XGBoost"/>
      </sharedItems>
    </cacheField>
    <cacheField name="Reduction" numFmtId="0">
      <sharedItems count="6">
        <s v="Brak redukcji"/>
        <s v="Flood Fill"/>
        <s v="LDA"/>
        <s v="PCA"/>
        <s v="UMAP"/>
        <s v="t-SNE" u="1"/>
      </sharedItems>
    </cacheField>
    <cacheField name="Accuracy" numFmtId="0">
      <sharedItems containsSemiMixedTypes="0" containsString="0" containsNumber="1" minValue="0.90659999999999996" maxValue="0.9844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ta" refreshedDate="45956.964474421293" createdVersion="8" refreshedVersion="8" minRefreshableVersion="3" recordCount="20" xr:uid="{5E937565-585E-4BD0-AD99-24F67B865FD8}">
  <cacheSource type="worksheet">
    <worksheetSource ref="A106:D126" sheet="Tabele"/>
  </cacheSource>
  <cacheFields count="4">
    <cacheField name="Dataset" numFmtId="0">
      <sharedItems/>
    </cacheField>
    <cacheField name="Classification" numFmtId="0">
      <sharedItems count="4">
        <s v="K-Nearest Neighbors"/>
        <s v="Multi-Layer Perceptron"/>
        <s v="Support Vector Machine"/>
        <s v="XGBoost"/>
      </sharedItems>
    </cacheField>
    <cacheField name="Reduction" numFmtId="0">
      <sharedItems count="6">
        <s v="Brak redukcji"/>
        <s v="Flood Fill"/>
        <s v="LDA"/>
        <s v="PCA"/>
        <s v="UMAP"/>
        <s v="t-SNE" u="1"/>
      </sharedItems>
    </cacheField>
    <cacheField name="Accuracy" numFmtId="0">
      <sharedItems containsSemiMixedTypes="0" containsString="0" containsNumber="1" minValue="0.89885401096163398" maxValue="0.951170901843547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ta" refreshedDate="45956.965468634262" createdVersion="8" refreshedVersion="8" minRefreshableVersion="3" recordCount="20" xr:uid="{1F2DD6D5-1CB1-4053-BE7E-32F5AFA1FD38}">
  <cacheSource type="worksheet">
    <worksheetSource ref="A127:D147" sheet="Tabele Corrupted"/>
  </cacheSource>
  <cacheFields count="4">
    <cacheField name="Dataset" numFmtId="0">
      <sharedItems/>
    </cacheField>
    <cacheField name="Classification" numFmtId="0">
      <sharedItems count="4">
        <s v="K-Nearest Neighbors"/>
        <s v="XGBoost"/>
        <s v="Multi-Layer Perceptron"/>
        <s v="Support Vector Machine"/>
      </sharedItems>
    </cacheField>
    <cacheField name="Reduction" numFmtId="0">
      <sharedItems count="5">
        <s v="Brak redukcji"/>
        <s v="PCA"/>
        <s v="LDA"/>
        <s v="UMAP"/>
        <s v="Flood Fill"/>
      </sharedItems>
    </cacheField>
    <cacheField name="Accuracy" numFmtId="0">
      <sharedItems containsSemiMixedTypes="0" containsString="0" containsNumber="1" minValue="0.85409999999999997" maxValue="0.973199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ta" refreshedDate="45956.965705324073" createdVersion="8" refreshedVersion="8" minRefreshableVersion="3" recordCount="20" xr:uid="{45AD27C5-56C6-44CD-B0D0-DA400BE57F33}">
  <cacheSource type="worksheet">
    <worksheetSource ref="A148:D168" sheet="Tabele Corrupted"/>
  </cacheSource>
  <cacheFields count="4">
    <cacheField name="Dataset" numFmtId="0">
      <sharedItems/>
    </cacheField>
    <cacheField name="Classification" numFmtId="0">
      <sharedItems count="4">
        <s v="K-Nearest Neighbors"/>
        <s v="XGBoost"/>
        <s v="Multi-Layer Perceptron"/>
        <s v="Support Vector Machine"/>
      </sharedItems>
    </cacheField>
    <cacheField name="Reduction" numFmtId="0">
      <sharedItems count="5">
        <s v="Brak redukcji"/>
        <s v="PCA"/>
        <s v="LDA"/>
        <s v="UMAP"/>
        <s v="Flood Fill"/>
      </sharedItems>
    </cacheField>
    <cacheField name="Accuracy" numFmtId="0">
      <sharedItems containsSemiMixedTypes="0" containsString="0" containsNumber="1" minValue="0.87450000000000006" maxValue="0.9787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ta" refreshedDate="45956.966076273151" createdVersion="8" refreshedVersion="8" minRefreshableVersion="3" recordCount="20" xr:uid="{88038BD5-276B-4818-BA1E-70BAE9566D7A}">
  <cacheSource type="worksheet">
    <worksheetSource ref="A169:D189" sheet="Tabele Corrupted"/>
  </cacheSource>
  <cacheFields count="4">
    <cacheField name="Dataset" numFmtId="0">
      <sharedItems/>
    </cacheField>
    <cacheField name="Classification" numFmtId="0">
      <sharedItems count="4">
        <s v="K-Nearest Neighbors"/>
        <s v="XGBoost"/>
        <s v="Multi-Layer Perceptron"/>
        <s v="Support Vector Machine"/>
      </sharedItems>
    </cacheField>
    <cacheField name="Reduction" numFmtId="0">
      <sharedItems count="5">
        <s v="Brak redukcji"/>
        <s v="PCA"/>
        <s v="LDA"/>
        <s v="UMAP"/>
        <s v="Flood Fill"/>
      </sharedItems>
    </cacheField>
    <cacheField name="Accuracy" numFmtId="0">
      <sharedItems containsSemiMixedTypes="0" containsString="0" containsNumber="1" minValue="0.83" maxValue="0.973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ta" refreshedDate="45957.385517592593" createdVersion="8" refreshedVersion="8" minRefreshableVersion="3" recordCount="20" xr:uid="{8C62E81D-524C-411B-99B0-C2206D66C10D}">
  <cacheSource type="worksheet">
    <worksheetSource ref="A316:D336" sheet="Tabele Corrupted"/>
  </cacheSource>
  <cacheFields count="4">
    <cacheField name="Dataset" numFmtId="0">
      <sharedItems/>
    </cacheField>
    <cacheField name="Classification" numFmtId="0">
      <sharedItems count="4">
        <s v="K-Nearest Neighbors"/>
        <s v="Multi-Layer Perceptron"/>
        <s v="Support Vector Machine"/>
        <s v="XGBoost"/>
      </sharedItems>
    </cacheField>
    <cacheField name="Reduction" numFmtId="0">
      <sharedItems count="5">
        <s v="Brak redukcji"/>
        <s v="Flood Fill"/>
        <s v="LDA"/>
        <s v="PCA"/>
        <s v="UMAP"/>
      </sharedItems>
    </cacheField>
    <cacheField name="Accuracy" numFmtId="0">
      <sharedItems containsSemiMixedTypes="0" containsString="0" containsNumber="1" minValue="0.71109999999999995" maxValue="0.9705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ta" refreshedDate="45957.386306250002" createdVersion="8" refreshedVersion="8" minRefreshableVersion="3" recordCount="20" xr:uid="{8B954828-0A97-4397-98BB-3B36F306785F}">
  <cacheSource type="worksheet">
    <worksheetSource ref="A190:D210" sheet="Tabele Corrupted"/>
  </cacheSource>
  <cacheFields count="4">
    <cacheField name="Dataset" numFmtId="0">
      <sharedItems/>
    </cacheField>
    <cacheField name="Classification" numFmtId="0">
      <sharedItems count="4">
        <s v="K-Nearest Neighbors"/>
        <s v="Multi-Layer Perceptron"/>
        <s v="Support Vector Machine"/>
        <s v="XGBoost"/>
      </sharedItems>
    </cacheField>
    <cacheField name="Reduction" numFmtId="0">
      <sharedItems count="5">
        <s v="Brak redukcji"/>
        <s v="Flood Fill"/>
        <s v="LDA"/>
        <s v="PCA"/>
        <s v="UMAP"/>
      </sharedItems>
    </cacheField>
    <cacheField name="Accuracy" numFmtId="0">
      <sharedItems containsSemiMixedTypes="0" containsString="0" containsNumber="1" minValue="0.91020000000000001" maxValue="0.98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ta" refreshedDate="45957.38646400463" createdVersion="8" refreshedVersion="8" minRefreshableVersion="3" recordCount="20" xr:uid="{8143FF32-673D-4542-809B-A58E56BFC030}">
  <cacheSource type="worksheet">
    <worksheetSource ref="A211:D231" sheet="Tabele Corrupted"/>
  </cacheSource>
  <cacheFields count="4">
    <cacheField name="Dataset" numFmtId="0">
      <sharedItems/>
    </cacheField>
    <cacheField name="Classification" numFmtId="0">
      <sharedItems count="4">
        <s v="K-Nearest Neighbors"/>
        <s v="Multi-Layer Perceptron"/>
        <s v="Support Vector Machine"/>
        <s v="XGBoost"/>
      </sharedItems>
    </cacheField>
    <cacheField name="Reduction" numFmtId="0">
      <sharedItems count="5">
        <s v="Brak redukcji"/>
        <s v="Flood Fill"/>
        <s v="LDA"/>
        <s v="PCA"/>
        <s v="UMAP"/>
      </sharedItems>
    </cacheField>
    <cacheField name="Accuracy" numFmtId="0">
      <sharedItems containsSemiMixedTypes="0" containsString="0" containsNumber="1" minValue="0.88629999999999998" maxValue="0.97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ta" refreshedDate="45957.386625115738" createdVersion="8" refreshedVersion="8" minRefreshableVersion="3" recordCount="20" xr:uid="{410BA39C-7904-4820-AD26-5E5CA5C1C97D}">
  <cacheSource type="worksheet">
    <worksheetSource ref="A232:D252" sheet="Tabele Corrupted"/>
  </cacheSource>
  <cacheFields count="4">
    <cacheField name="Dataset" numFmtId="0">
      <sharedItems/>
    </cacheField>
    <cacheField name="Classification" numFmtId="0">
      <sharedItems count="4">
        <s v="K-Nearest Neighbors"/>
        <s v="Multi-Layer Perceptron"/>
        <s v="Support Vector Machine"/>
        <s v="XGBoost"/>
      </sharedItems>
    </cacheField>
    <cacheField name="Reduction" numFmtId="0">
      <sharedItems count="5">
        <s v="Brak redukcji"/>
        <s v="Flood Fill"/>
        <s v="LDA"/>
        <s v="PCA"/>
        <s v="UMAP"/>
      </sharedItems>
    </cacheField>
    <cacheField name="Accuracy" numFmtId="0">
      <sharedItems containsSemiMixedTypes="0" containsString="0" containsNumber="1" minValue="0.88749999999999996" maxValue="0.9784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ta" refreshedDate="45957.386778125001" createdVersion="8" refreshedVersion="8" minRefreshableVersion="3" recordCount="20" xr:uid="{D0E7B670-5894-493D-81EE-3F9E17767693}">
  <cacheSource type="worksheet">
    <worksheetSource ref="A253:D273" sheet="Tabele Corrupted"/>
  </cacheSource>
  <cacheFields count="4">
    <cacheField name="Dataset" numFmtId="0">
      <sharedItems/>
    </cacheField>
    <cacheField name="Classification" numFmtId="0">
      <sharedItems count="4">
        <s v="K-Nearest Neighbors"/>
        <s v="Multi-Layer Perceptron"/>
        <s v="Support Vector Machine"/>
        <s v="XGBoost"/>
      </sharedItems>
    </cacheField>
    <cacheField name="Reduction" numFmtId="0">
      <sharedItems count="5">
        <s v="Brak redukcji"/>
        <s v="Flood Fill"/>
        <s v="LDA"/>
        <s v="PCA"/>
        <s v="UMAP"/>
      </sharedItems>
    </cacheField>
    <cacheField name="Accuracy" numFmtId="0">
      <sharedItems containsSemiMixedTypes="0" containsString="0" containsNumber="1" minValue="0.84930000000000005" maxValue="0.9733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ta" refreshedDate="45957.386917476855" createdVersion="8" refreshedVersion="8" minRefreshableVersion="3" recordCount="20" xr:uid="{0245003C-B3CC-461D-AD22-A7180C30E217}">
  <cacheSource type="worksheet">
    <worksheetSource ref="A274:D294" sheet="Tabele Corrupted"/>
  </cacheSource>
  <cacheFields count="4">
    <cacheField name="Dataset" numFmtId="0">
      <sharedItems/>
    </cacheField>
    <cacheField name="Classification" numFmtId="0">
      <sharedItems count="4">
        <s v="K-Nearest Neighbors"/>
        <s v="Multi-Layer Perceptron"/>
        <s v="Support Vector Machine"/>
        <s v="XGBoost"/>
      </sharedItems>
    </cacheField>
    <cacheField name="Reduction" numFmtId="0">
      <sharedItems count="5">
        <s v="Brak redukcji"/>
        <s v="Flood Fill"/>
        <s v="LDA"/>
        <s v="PCA"/>
        <s v="UMAP"/>
      </sharedItems>
    </cacheField>
    <cacheField name="Accuracy" numFmtId="0">
      <sharedItems containsSemiMixedTypes="0" containsString="0" containsNumber="1" minValue="0.72260000000000002" maxValue="0.9847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ta" refreshedDate="45957.397801157407" createdVersion="8" refreshedVersion="8" minRefreshableVersion="3" recordCount="20" xr:uid="{9C55483D-90B4-435B-9DEA-45BA73938F95}">
  <cacheSource type="worksheet">
    <worksheetSource ref="A295:D315" sheet="Tabele Corrupted"/>
  </cacheSource>
  <cacheFields count="4">
    <cacheField name="Dataset" numFmtId="0">
      <sharedItems/>
    </cacheField>
    <cacheField name="Classification" numFmtId="0">
      <sharedItems count="4">
        <s v="K-Nearest Neighbors"/>
        <s v="Multi-Layer Perceptron"/>
        <s v="Support Vector Machine"/>
        <s v="XGBoost"/>
      </sharedItems>
    </cacheField>
    <cacheField name="Reduction" numFmtId="0">
      <sharedItems count="5">
        <s v="Brak redukcji"/>
        <s v="Flood Fill"/>
        <s v="LDA"/>
        <s v="PCA"/>
        <s v="UMAP"/>
      </sharedItems>
    </cacheField>
    <cacheField name="Accuracy" numFmtId="0">
      <sharedItems containsSemiMixedTypes="0" containsString="0" containsNumber="1" minValue="0.71060000000000001" maxValue="0.973199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n v="0.97140000000000004"/>
  </r>
  <r>
    <x v="0"/>
    <x v="1"/>
    <n v="0.96099999999999997"/>
  </r>
  <r>
    <x v="0"/>
    <x v="2"/>
    <n v="0.95489999999999997"/>
  </r>
  <r>
    <x v="0"/>
    <x v="3"/>
    <n v="0.9829"/>
  </r>
  <r>
    <x v="0"/>
    <x v="4"/>
    <n v="0.97160000000000002"/>
  </r>
  <r>
    <x v="1"/>
    <x v="0"/>
    <n v="0.98099999999999998"/>
  </r>
  <r>
    <x v="1"/>
    <x v="1"/>
    <n v="0.98050000000000004"/>
  </r>
  <r>
    <x v="1"/>
    <x v="2"/>
    <n v="0.95150000000000001"/>
  </r>
  <r>
    <x v="1"/>
    <x v="3"/>
    <n v="0.98380000000000001"/>
  </r>
  <r>
    <x v="1"/>
    <x v="4"/>
    <n v="0.97070000000000001"/>
  </r>
  <r>
    <x v="2"/>
    <x v="0"/>
    <n v="0.98129999999999995"/>
  </r>
  <r>
    <x v="2"/>
    <x v="1"/>
    <n v="0.97019999999999995"/>
  </r>
  <r>
    <x v="2"/>
    <x v="2"/>
    <n v="0.95479999999999998"/>
  </r>
  <r>
    <x v="2"/>
    <x v="3"/>
    <n v="0.9839"/>
  </r>
  <r>
    <x v="2"/>
    <x v="4"/>
    <n v="0.97050000000000003"/>
  </r>
  <r>
    <x v="3"/>
    <x v="0"/>
    <n v="0.97250000000000003"/>
  </r>
  <r>
    <x v="3"/>
    <x v="1"/>
    <n v="0.97940000000000005"/>
  </r>
  <r>
    <x v="3"/>
    <x v="2"/>
    <n v="0.95299999999999996"/>
  </r>
  <r>
    <x v="3"/>
    <x v="3"/>
    <n v="0.97489999999999999"/>
  </r>
  <r>
    <x v="3"/>
    <x v="4"/>
    <n v="0.9710999999999999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n v="0.74696808510638302"/>
  </r>
  <r>
    <x v="0"/>
    <x v="1"/>
    <n v="0.66239361702127597"/>
  </r>
  <r>
    <x v="0"/>
    <x v="2"/>
    <n v="0.74457446808510597"/>
  </r>
  <r>
    <x v="0"/>
    <x v="3"/>
    <n v="0.80702127659574396"/>
  </r>
  <r>
    <x v="0"/>
    <x v="4"/>
    <n v="0.71845744680850998"/>
  </r>
  <r>
    <x v="1"/>
    <x v="0"/>
    <n v="0.80053191489361697"/>
  </r>
  <r>
    <x v="1"/>
    <x v="1"/>
    <n v="0.75952127659574398"/>
  </r>
  <r>
    <x v="1"/>
    <x v="2"/>
    <n v="0.766436170212766"/>
  </r>
  <r>
    <x v="1"/>
    <x v="3"/>
    <n v="0.82356382978723397"/>
  </r>
  <r>
    <x v="1"/>
    <x v="4"/>
    <n v="0.71478723404255295"/>
  </r>
  <r>
    <x v="2"/>
    <x v="0"/>
    <n v="0.827234042553191"/>
  </r>
  <r>
    <x v="2"/>
    <x v="1"/>
    <n v="0.71526595744680799"/>
  </r>
  <r>
    <x v="2"/>
    <x v="2"/>
    <n v="0.81101063829787201"/>
  </r>
  <r>
    <x v="2"/>
    <x v="3"/>
    <n v="0.85079787234042503"/>
  </r>
  <r>
    <x v="2"/>
    <x v="4"/>
    <n v="0.70382978723404199"/>
  </r>
  <r>
    <x v="3"/>
    <x v="0"/>
    <n v="0.77367021276595704"/>
  </r>
  <r>
    <x v="3"/>
    <x v="1"/>
    <n v="0.75042553191489303"/>
  </r>
  <r>
    <x v="3"/>
    <x v="2"/>
    <n v="0.73856382978723401"/>
  </r>
  <r>
    <x v="3"/>
    <x v="3"/>
    <n v="0.76265957446808497"/>
  </r>
  <r>
    <x v="3"/>
    <x v="4"/>
    <n v="0.7394148936170209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EMNIST-Digits"/>
    <x v="0"/>
    <x v="0"/>
    <n v="0.97322500000000001"/>
  </r>
  <r>
    <s v="EMNIST-Digits"/>
    <x v="0"/>
    <x v="1"/>
    <n v="0.92044999999999999"/>
  </r>
  <r>
    <s v="EMNIST-Digits"/>
    <x v="0"/>
    <x v="2"/>
    <n v="0.93894999999999995"/>
  </r>
  <r>
    <s v="EMNIST-Digits"/>
    <x v="0"/>
    <x v="3"/>
    <n v="0.98670000000000002"/>
  </r>
  <r>
    <s v="EMNIST-Digits"/>
    <x v="0"/>
    <x v="4"/>
    <n v="0.96852499999999997"/>
  </r>
  <r>
    <s v="EMNIST-Digits"/>
    <x v="1"/>
    <x v="0"/>
    <n v="0.98824999999999996"/>
  </r>
  <r>
    <s v="EMNIST-Digits"/>
    <x v="1"/>
    <x v="1"/>
    <n v="0.96012500000000001"/>
  </r>
  <r>
    <s v="EMNIST-Digits"/>
    <x v="1"/>
    <x v="2"/>
    <n v="0.93200000000000005"/>
  </r>
  <r>
    <s v="EMNIST-Digits"/>
    <x v="1"/>
    <x v="3"/>
    <n v="0.99027500000000002"/>
  </r>
  <r>
    <s v="EMNIST-Digits"/>
    <x v="1"/>
    <x v="4"/>
    <n v="0.96847499999999997"/>
  </r>
  <r>
    <s v="EMNIST-Digits"/>
    <x v="2"/>
    <x v="0"/>
    <n v="0.98722500000000002"/>
  </r>
  <r>
    <s v="EMNIST-Digits"/>
    <x v="2"/>
    <x v="1"/>
    <n v="0.93684999999999996"/>
  </r>
  <r>
    <s v="EMNIST-Digits"/>
    <x v="2"/>
    <x v="2"/>
    <n v="0.94155"/>
  </r>
  <r>
    <s v="EMNIST-Digits"/>
    <x v="2"/>
    <x v="3"/>
    <n v="0.99065000000000003"/>
  </r>
  <r>
    <s v="EMNIST-Digits"/>
    <x v="2"/>
    <x v="4"/>
    <n v="0.96814999999999996"/>
  </r>
  <r>
    <s v="EMNIST-Digits"/>
    <x v="3"/>
    <x v="0"/>
    <n v="0.97542499999999999"/>
  </r>
  <r>
    <s v="EMNIST-Digits"/>
    <x v="3"/>
    <x v="1"/>
    <n v="0.94277500000000003"/>
  </r>
  <r>
    <s v="EMNIST-Digits"/>
    <x v="3"/>
    <x v="2"/>
    <n v="0.93394999999999995"/>
  </r>
  <r>
    <s v="EMNIST-Digits"/>
    <x v="3"/>
    <x v="3"/>
    <n v="0.96445000000000003"/>
  </r>
  <r>
    <s v="EMNIST-Digits"/>
    <x v="3"/>
    <x v="4"/>
    <n v="0.9689250000000000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Fashion-MNIST"/>
    <x v="0"/>
    <x v="0"/>
    <n v="0.80249999999999999"/>
  </r>
  <r>
    <s v="Fashion-MNIST"/>
    <x v="0"/>
    <x v="1"/>
    <n v="0.7984"/>
  </r>
  <r>
    <s v="Fashion-MNIST"/>
    <x v="0"/>
    <x v="2"/>
    <n v="0.83260000000000001"/>
  </r>
  <r>
    <s v="Fashion-MNIST"/>
    <x v="0"/>
    <x v="3"/>
    <n v="0.8579"/>
  </r>
  <r>
    <s v="Fashion-MNIST"/>
    <x v="0"/>
    <x v="4"/>
    <n v="0.80630000000000002"/>
  </r>
  <r>
    <s v="Fashion-MNIST"/>
    <x v="1"/>
    <x v="0"/>
    <n v="0.84760000000000002"/>
  </r>
  <r>
    <s v="Fashion-MNIST"/>
    <x v="1"/>
    <x v="1"/>
    <n v="0.82099999999999995"/>
  </r>
  <r>
    <s v="Fashion-MNIST"/>
    <x v="1"/>
    <x v="2"/>
    <n v="0.80869999999999997"/>
  </r>
  <r>
    <s v="Fashion-MNIST"/>
    <x v="1"/>
    <x v="3"/>
    <n v="0.88400000000000001"/>
  </r>
  <r>
    <s v="Fashion-MNIST"/>
    <x v="1"/>
    <x v="4"/>
    <n v="0.79900000000000004"/>
  </r>
  <r>
    <s v="Fashion-MNIST"/>
    <x v="2"/>
    <x v="0"/>
    <n v="0.85460000000000003"/>
  </r>
  <r>
    <s v="Fashion-MNIST"/>
    <x v="2"/>
    <x v="1"/>
    <n v="0.77810000000000001"/>
  </r>
  <r>
    <s v="Fashion-MNIST"/>
    <x v="2"/>
    <x v="2"/>
    <n v="0.84030000000000005"/>
  </r>
  <r>
    <s v="Fashion-MNIST"/>
    <x v="2"/>
    <x v="3"/>
    <n v="0.88060000000000005"/>
  </r>
  <r>
    <s v="Fashion-MNIST"/>
    <x v="2"/>
    <x v="4"/>
    <n v="0.77290000000000003"/>
  </r>
  <r>
    <s v="Fashion-MNIST"/>
    <x v="3"/>
    <x v="0"/>
    <n v="0.83879999999999999"/>
  </r>
  <r>
    <s v="Fashion-MNIST"/>
    <x v="3"/>
    <x v="1"/>
    <n v="0.82599999999999996"/>
  </r>
  <r>
    <s v="Fashion-MNIST"/>
    <x v="3"/>
    <x v="2"/>
    <n v="0.83950000000000002"/>
  </r>
  <r>
    <s v="Fashion-MNIST"/>
    <x v="3"/>
    <x v="3"/>
    <n v="0.86890000000000001"/>
  </r>
  <r>
    <s v="Fashion-MNIST"/>
    <x v="3"/>
    <x v="4"/>
    <n v="0.8284000000000000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MNIST"/>
    <x v="0"/>
    <x v="0"/>
    <n v="0.95760000000000001"/>
  </r>
  <r>
    <s v="MNIST"/>
    <x v="0"/>
    <x v="1"/>
    <n v="0.95820000000000005"/>
  </r>
  <r>
    <s v="MNIST"/>
    <x v="0"/>
    <x v="2"/>
    <n v="0.91449999999999998"/>
  </r>
  <r>
    <s v="MNIST"/>
    <x v="0"/>
    <x v="3"/>
    <n v="0.97440000000000004"/>
  </r>
  <r>
    <s v="MNIST"/>
    <x v="0"/>
    <x v="4"/>
    <n v="0.95489999999999997"/>
  </r>
  <r>
    <s v="MNIST"/>
    <x v="1"/>
    <x v="0"/>
    <n v="0.97399999999999998"/>
  </r>
  <r>
    <s v="MNIST"/>
    <x v="1"/>
    <x v="1"/>
    <n v="0.9778"/>
  </r>
  <r>
    <s v="MNIST"/>
    <x v="1"/>
    <x v="2"/>
    <n v="0.90659999999999996"/>
  </r>
  <r>
    <s v="MNIST"/>
    <x v="1"/>
    <x v="3"/>
    <n v="0.98440000000000005"/>
  </r>
  <r>
    <s v="MNIST"/>
    <x v="1"/>
    <x v="4"/>
    <n v="0.95409999999999995"/>
  </r>
  <r>
    <s v="MNIST"/>
    <x v="2"/>
    <x v="0"/>
    <n v="0.97689999999999999"/>
  </r>
  <r>
    <s v="MNIST"/>
    <x v="2"/>
    <x v="1"/>
    <n v="0.97160000000000002"/>
  </r>
  <r>
    <s v="MNIST"/>
    <x v="2"/>
    <x v="2"/>
    <n v="0.92149999999999999"/>
  </r>
  <r>
    <s v="MNIST"/>
    <x v="2"/>
    <x v="3"/>
    <n v="0.98280000000000001"/>
  </r>
  <r>
    <s v="MNIST"/>
    <x v="2"/>
    <x v="4"/>
    <n v="0.95409999999999995"/>
  </r>
  <r>
    <s v="MNIST"/>
    <x v="3"/>
    <x v="0"/>
    <n v="0.96540000000000004"/>
  </r>
  <r>
    <s v="MNIST"/>
    <x v="3"/>
    <x v="1"/>
    <n v="0.97570000000000001"/>
  </r>
  <r>
    <s v="MNIST"/>
    <x v="3"/>
    <x v="2"/>
    <n v="0.91279999999999994"/>
  </r>
  <r>
    <s v="MNIST"/>
    <x v="3"/>
    <x v="3"/>
    <n v="0.95509999999999995"/>
  </r>
  <r>
    <s v="MNIST"/>
    <x v="3"/>
    <x v="4"/>
    <n v="0.955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USPS"/>
    <x v="0"/>
    <x v="0"/>
    <n v="0.91131041355256603"/>
  </r>
  <r>
    <s v="USPS"/>
    <x v="0"/>
    <x v="1"/>
    <n v="0.89885401096163398"/>
  </r>
  <r>
    <s v="USPS"/>
    <x v="0"/>
    <x v="2"/>
    <n v="0.90533134030891804"/>
  </r>
  <r>
    <s v="USPS"/>
    <x v="0"/>
    <x v="3"/>
    <n v="0.94818136522172303"/>
  </r>
  <r>
    <s v="USPS"/>
    <x v="0"/>
    <x v="4"/>
    <n v="0.92974588938714497"/>
  </r>
  <r>
    <s v="USPS"/>
    <x v="1"/>
    <x v="0"/>
    <n v="0.92526158445440898"/>
  </r>
  <r>
    <s v="USPS"/>
    <x v="1"/>
    <x v="1"/>
    <n v="0.92127553562531095"/>
  </r>
  <r>
    <s v="USPS"/>
    <x v="1"/>
    <x v="2"/>
    <n v="0.90333831589436897"/>
  </r>
  <r>
    <s v="USPS"/>
    <x v="1"/>
    <x v="3"/>
    <n v="0.94170403587443896"/>
  </r>
  <r>
    <s v="USPS"/>
    <x v="1"/>
    <x v="4"/>
    <n v="0.92227204783258598"/>
  </r>
  <r>
    <s v="USPS"/>
    <x v="2"/>
    <x v="0"/>
    <n v="0.92725460886895805"/>
  </r>
  <r>
    <s v="USPS"/>
    <x v="2"/>
    <x v="1"/>
    <n v="0.90383657199800604"/>
  </r>
  <r>
    <s v="USPS"/>
    <x v="2"/>
    <x v="2"/>
    <n v="0.90284005979073201"/>
  </r>
  <r>
    <s v="USPS"/>
    <x v="2"/>
    <x v="3"/>
    <n v="0.95117090184354702"/>
  </r>
  <r>
    <s v="USPS"/>
    <x v="2"/>
    <x v="4"/>
    <n v="0.92625809666168402"/>
  </r>
  <r>
    <s v="USPS"/>
    <x v="3"/>
    <x v="0"/>
    <n v="0.92277030393622295"/>
  </r>
  <r>
    <s v="USPS"/>
    <x v="3"/>
    <x v="1"/>
    <n v="0.92227204783258598"/>
  </r>
  <r>
    <s v="USPS"/>
    <x v="3"/>
    <x v="2"/>
    <n v="0.90034877927254597"/>
  </r>
  <r>
    <s v="USPS"/>
    <x v="3"/>
    <x v="3"/>
    <n v="0.92874937717987005"/>
  </r>
  <r>
    <s v="USPS"/>
    <x v="3"/>
    <x v="4"/>
    <n v="0.9252615844544089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MNIST-C (Impulse Noise)"/>
    <x v="0"/>
    <x v="0"/>
    <n v="0.91620000000000001"/>
  </r>
  <r>
    <s v="MNIST-C (Impulse Noise)"/>
    <x v="1"/>
    <x v="0"/>
    <n v="0.93089999999999995"/>
  </r>
  <r>
    <s v="MNIST-C (Impulse Noise)"/>
    <x v="2"/>
    <x v="0"/>
    <n v="0.94469999999999998"/>
  </r>
  <r>
    <s v="MNIST-C (Impulse Noise)"/>
    <x v="3"/>
    <x v="0"/>
    <n v="0.9405"/>
  </r>
  <r>
    <s v="MNIST-C (Impulse Noise)"/>
    <x v="0"/>
    <x v="1"/>
    <n v="0.9647"/>
  </r>
  <r>
    <s v="MNIST-C (Impulse Noise)"/>
    <x v="1"/>
    <x v="1"/>
    <n v="0.93500000000000005"/>
  </r>
  <r>
    <s v="MNIST-C (Impulse Noise)"/>
    <x v="2"/>
    <x v="1"/>
    <n v="0.97270000000000001"/>
  </r>
  <r>
    <s v="MNIST-C (Impulse Noise)"/>
    <x v="3"/>
    <x v="1"/>
    <n v="0.97319999999999995"/>
  </r>
  <r>
    <s v="MNIST-C (Impulse Noise)"/>
    <x v="0"/>
    <x v="2"/>
    <n v="0.87609999999999999"/>
  </r>
  <r>
    <s v="MNIST-C (Impulse Noise)"/>
    <x v="1"/>
    <x v="2"/>
    <n v="0.88349999999999995"/>
  </r>
  <r>
    <s v="MNIST-C (Impulse Noise)"/>
    <x v="2"/>
    <x v="2"/>
    <n v="0.85409999999999997"/>
  </r>
  <r>
    <s v="MNIST-C (Impulse Noise)"/>
    <x v="3"/>
    <x v="2"/>
    <n v="0.89190000000000003"/>
  </r>
  <r>
    <s v="MNIST-C (Impulse Noise)"/>
    <x v="0"/>
    <x v="3"/>
    <n v="0.92820000000000003"/>
  </r>
  <r>
    <s v="MNIST-C (Impulse Noise)"/>
    <x v="1"/>
    <x v="3"/>
    <n v="0.93340000000000001"/>
  </r>
  <r>
    <s v="MNIST-C (Impulse Noise)"/>
    <x v="2"/>
    <x v="3"/>
    <n v="0.92210000000000003"/>
  </r>
  <r>
    <s v="MNIST-C (Impulse Noise)"/>
    <x v="3"/>
    <x v="3"/>
    <n v="0.92120000000000002"/>
  </r>
  <r>
    <s v="MNIST-C (Impulse Noise)"/>
    <x v="0"/>
    <x v="4"/>
    <n v="0.91820000000000002"/>
  </r>
  <r>
    <s v="MNIST-C (Impulse Noise)"/>
    <x v="1"/>
    <x v="4"/>
    <n v="0.93759999999999999"/>
  </r>
  <r>
    <s v="MNIST-C (Impulse Noise)"/>
    <x v="2"/>
    <x v="4"/>
    <n v="0.93710000000000004"/>
  </r>
  <r>
    <s v="MNIST-C (Impulse Noise)"/>
    <x v="3"/>
    <x v="4"/>
    <n v="0.93430000000000002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MNIST-C (Motion Blur)"/>
    <x v="0"/>
    <x v="0"/>
    <n v="0.87890000000000001"/>
  </r>
  <r>
    <s v="MNIST-C (Motion Blur)"/>
    <x v="1"/>
    <x v="0"/>
    <n v="0.90949999999999998"/>
  </r>
  <r>
    <s v="MNIST-C (Motion Blur)"/>
    <x v="2"/>
    <x v="0"/>
    <n v="0.91469999999999996"/>
  </r>
  <r>
    <s v="MNIST-C (Motion Blur)"/>
    <x v="3"/>
    <x v="0"/>
    <n v="0.93120000000000003"/>
  </r>
  <r>
    <s v="MNIST-C (Motion Blur)"/>
    <x v="0"/>
    <x v="1"/>
    <n v="0.96289999999999998"/>
  </r>
  <r>
    <s v="MNIST-C (Motion Blur)"/>
    <x v="1"/>
    <x v="1"/>
    <n v="0.94679999999999997"/>
  </r>
  <r>
    <s v="MNIST-C (Motion Blur)"/>
    <x v="2"/>
    <x v="1"/>
    <n v="0.97870000000000001"/>
  </r>
  <r>
    <s v="MNIST-C (Motion Blur)"/>
    <x v="3"/>
    <x v="1"/>
    <n v="0.97829999999999995"/>
  </r>
  <r>
    <s v="MNIST-C (Motion Blur)"/>
    <x v="0"/>
    <x v="2"/>
    <n v="0.89080000000000004"/>
  </r>
  <r>
    <s v="MNIST-C (Motion Blur)"/>
    <x v="1"/>
    <x v="2"/>
    <n v="0.88690000000000002"/>
  </r>
  <r>
    <s v="MNIST-C (Motion Blur)"/>
    <x v="2"/>
    <x v="2"/>
    <n v="0.87450000000000006"/>
  </r>
  <r>
    <s v="MNIST-C (Motion Blur)"/>
    <x v="3"/>
    <x v="2"/>
    <n v="0.89370000000000005"/>
  </r>
  <r>
    <s v="MNIST-C (Motion Blur)"/>
    <x v="0"/>
    <x v="3"/>
    <n v="0.94220000000000004"/>
  </r>
  <r>
    <s v="MNIST-C (Motion Blur)"/>
    <x v="1"/>
    <x v="3"/>
    <n v="0.94230000000000003"/>
  </r>
  <r>
    <s v="MNIST-C (Motion Blur)"/>
    <x v="2"/>
    <x v="3"/>
    <n v="0.94010000000000005"/>
  </r>
  <r>
    <s v="MNIST-C (Motion Blur)"/>
    <x v="3"/>
    <x v="3"/>
    <n v="0.94089999999999996"/>
  </r>
  <r>
    <s v="MNIST-C (Motion Blur)"/>
    <x v="0"/>
    <x v="4"/>
    <n v="0.92220000000000002"/>
  </r>
  <r>
    <s v="MNIST-C (Motion Blur)"/>
    <x v="1"/>
    <x v="4"/>
    <n v="0.95350000000000001"/>
  </r>
  <r>
    <s v="MNIST-C (Motion Blur)"/>
    <x v="2"/>
    <x v="4"/>
    <n v="0.95899999999999996"/>
  </r>
  <r>
    <s v="MNIST-C (Motion Blur)"/>
    <x v="3"/>
    <x v="4"/>
    <n v="0.94199999999999995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MNIST-C (Rotate)"/>
    <x v="0"/>
    <x v="0"/>
    <n v="0.94530000000000003"/>
  </r>
  <r>
    <s v="MNIST-C (Rotate)"/>
    <x v="1"/>
    <x v="0"/>
    <n v="0.94040000000000001"/>
  </r>
  <r>
    <s v="MNIST-C (Rotate)"/>
    <x v="2"/>
    <x v="0"/>
    <n v="0.96499999999999997"/>
  </r>
  <r>
    <s v="MNIST-C (Rotate)"/>
    <x v="3"/>
    <x v="0"/>
    <n v="0.96189999999999998"/>
  </r>
  <r>
    <s v="MNIST-C (Rotate)"/>
    <x v="0"/>
    <x v="1"/>
    <n v="0.96709999999999996"/>
  </r>
  <r>
    <s v="MNIST-C (Rotate)"/>
    <x v="1"/>
    <x v="1"/>
    <n v="0.93130000000000002"/>
  </r>
  <r>
    <s v="MNIST-C (Rotate)"/>
    <x v="2"/>
    <x v="1"/>
    <n v="0.97399999999999998"/>
  </r>
  <r>
    <s v="MNIST-C (Rotate)"/>
    <x v="3"/>
    <x v="1"/>
    <n v="0.9738"/>
  </r>
  <r>
    <s v="MNIST-C (Rotate)"/>
    <x v="0"/>
    <x v="2"/>
    <n v="0.85319999999999996"/>
  </r>
  <r>
    <s v="MNIST-C (Rotate)"/>
    <x v="1"/>
    <x v="2"/>
    <n v="0.85629999999999995"/>
  </r>
  <r>
    <s v="MNIST-C (Rotate)"/>
    <x v="2"/>
    <x v="2"/>
    <n v="0.83"/>
  </r>
  <r>
    <s v="MNIST-C (Rotate)"/>
    <x v="3"/>
    <x v="2"/>
    <n v="0.86450000000000005"/>
  </r>
  <r>
    <s v="MNIST-C (Rotate)"/>
    <x v="0"/>
    <x v="3"/>
    <n v="0.94520000000000004"/>
  </r>
  <r>
    <s v="MNIST-C (Rotate)"/>
    <x v="1"/>
    <x v="3"/>
    <n v="0.94610000000000005"/>
  </r>
  <r>
    <s v="MNIST-C (Rotate)"/>
    <x v="2"/>
    <x v="3"/>
    <n v="0.94399999999999995"/>
  </r>
  <r>
    <s v="MNIST-C (Rotate)"/>
    <x v="3"/>
    <x v="3"/>
    <n v="0.94259999999999999"/>
  </r>
  <r>
    <s v="MNIST-C (Rotate)"/>
    <x v="0"/>
    <x v="4"/>
    <n v="0.93169999999999997"/>
  </r>
  <r>
    <s v="MNIST-C (Rotate)"/>
    <x v="1"/>
    <x v="4"/>
    <n v="0.9526"/>
  </r>
  <r>
    <s v="MNIST-C (Rotate)"/>
    <x v="2"/>
    <x v="4"/>
    <n v="0.96319999999999995"/>
  </r>
  <r>
    <s v="MNIST-C (Rotate)"/>
    <x v="3"/>
    <x v="4"/>
    <n v="0.94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MNIST-C (Zigzag)"/>
    <x v="0"/>
    <x v="0"/>
    <n v="0.8276"/>
  </r>
  <r>
    <s v="MNIST-C (Zigzag)"/>
    <x v="0"/>
    <x v="1"/>
    <n v="0.879"/>
  </r>
  <r>
    <s v="MNIST-C (Zigzag)"/>
    <x v="0"/>
    <x v="2"/>
    <n v="0.90600000000000003"/>
  </r>
  <r>
    <s v="MNIST-C (Zigzag)"/>
    <x v="0"/>
    <x v="3"/>
    <n v="0.9274"/>
  </r>
  <r>
    <s v="MNIST-C (Zigzag)"/>
    <x v="0"/>
    <x v="4"/>
    <n v="0.74550000000000005"/>
  </r>
  <r>
    <s v="MNIST-C (Zigzag)"/>
    <x v="1"/>
    <x v="0"/>
    <n v="0.96230000000000004"/>
  </r>
  <r>
    <s v="MNIST-C (Zigzag)"/>
    <x v="1"/>
    <x v="1"/>
    <n v="0.93700000000000006"/>
  </r>
  <r>
    <s v="MNIST-C (Zigzag)"/>
    <x v="1"/>
    <x v="2"/>
    <n v="0.88990000000000002"/>
  </r>
  <r>
    <s v="MNIST-C (Zigzag)"/>
    <x v="1"/>
    <x v="3"/>
    <n v="0.97050000000000003"/>
  </r>
  <r>
    <s v="MNIST-C (Zigzag)"/>
    <x v="1"/>
    <x v="4"/>
    <n v="0.72619999999999996"/>
  </r>
  <r>
    <s v="MNIST-C (Zigzag)"/>
    <x v="2"/>
    <x v="0"/>
    <n v="0.9587"/>
  </r>
  <r>
    <s v="MNIST-C (Zigzag)"/>
    <x v="2"/>
    <x v="1"/>
    <n v="0.9204"/>
  </r>
  <r>
    <s v="MNIST-C (Zigzag)"/>
    <x v="2"/>
    <x v="2"/>
    <n v="0.9103"/>
  </r>
  <r>
    <s v="MNIST-C (Zigzag)"/>
    <x v="2"/>
    <x v="3"/>
    <n v="0.96660000000000001"/>
  </r>
  <r>
    <s v="MNIST-C (Zigzag)"/>
    <x v="2"/>
    <x v="4"/>
    <n v="0.71109999999999995"/>
  </r>
  <r>
    <s v="MNIST-C (Zigzag)"/>
    <x v="3"/>
    <x v="0"/>
    <n v="0.94989999999999997"/>
  </r>
  <r>
    <s v="MNIST-C (Zigzag)"/>
    <x v="3"/>
    <x v="1"/>
    <n v="0.92689999999999995"/>
  </r>
  <r>
    <s v="MNIST-C (Zigzag)"/>
    <x v="3"/>
    <x v="2"/>
    <n v="0.90210000000000001"/>
  </r>
  <r>
    <s v="MNIST-C (Zigzag)"/>
    <x v="3"/>
    <x v="3"/>
    <n v="0.91479999999999995"/>
  </r>
  <r>
    <s v="MNIST-C (Zigzag)"/>
    <x v="3"/>
    <x v="4"/>
    <n v="0.7741000000000000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MNIST-C (Scale)"/>
    <x v="0"/>
    <x v="0"/>
    <n v="0.95240000000000002"/>
  </r>
  <r>
    <s v="MNIST-C (Scale)"/>
    <x v="0"/>
    <x v="1"/>
    <n v="0.94079999999999997"/>
  </r>
  <r>
    <s v="MNIST-C (Scale)"/>
    <x v="0"/>
    <x v="2"/>
    <n v="0.91790000000000005"/>
  </r>
  <r>
    <s v="MNIST-C (Scale)"/>
    <x v="0"/>
    <x v="3"/>
    <n v="0.97440000000000004"/>
  </r>
  <r>
    <s v="MNIST-C (Scale)"/>
    <x v="0"/>
    <x v="4"/>
    <n v="0.95669999999999999"/>
  </r>
  <r>
    <s v="MNIST-C (Scale)"/>
    <x v="1"/>
    <x v="0"/>
    <n v="0.97529999999999994"/>
  </r>
  <r>
    <s v="MNIST-C (Scale)"/>
    <x v="1"/>
    <x v="1"/>
    <n v="0.96419999999999995"/>
  </r>
  <r>
    <s v="MNIST-C (Scale)"/>
    <x v="1"/>
    <x v="2"/>
    <n v="0.91020000000000001"/>
  </r>
  <r>
    <s v="MNIST-C (Scale)"/>
    <x v="1"/>
    <x v="3"/>
    <n v="0.9839"/>
  </r>
  <r>
    <s v="MNIST-C (Scale)"/>
    <x v="1"/>
    <x v="4"/>
    <n v="0.95579999999999998"/>
  </r>
  <r>
    <s v="MNIST-C (Scale)"/>
    <x v="2"/>
    <x v="0"/>
    <n v="0.96879999999999999"/>
  </r>
  <r>
    <s v="MNIST-C (Scale)"/>
    <x v="2"/>
    <x v="1"/>
    <n v="0.95399999999999996"/>
  </r>
  <r>
    <s v="MNIST-C (Scale)"/>
    <x v="2"/>
    <x v="2"/>
    <n v="0.92120000000000002"/>
  </r>
  <r>
    <s v="MNIST-C (Scale)"/>
    <x v="2"/>
    <x v="3"/>
    <n v="0.98240000000000005"/>
  </r>
  <r>
    <s v="MNIST-C (Scale)"/>
    <x v="2"/>
    <x v="4"/>
    <n v="0.95579999999999998"/>
  </r>
  <r>
    <s v="MNIST-C (Scale)"/>
    <x v="3"/>
    <x v="0"/>
    <n v="0.9607"/>
  </r>
  <r>
    <s v="MNIST-C (Scale)"/>
    <x v="3"/>
    <x v="1"/>
    <n v="0.96109999999999995"/>
  </r>
  <r>
    <s v="MNIST-C (Scale)"/>
    <x v="3"/>
    <x v="2"/>
    <n v="0.91459999999999997"/>
  </r>
  <r>
    <s v="MNIST-C (Scale)"/>
    <x v="3"/>
    <x v="3"/>
    <n v="0.95620000000000005"/>
  </r>
  <r>
    <s v="MNIST-C (Scale)"/>
    <x v="3"/>
    <x v="4"/>
    <n v="0.95760000000000001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MNIST-C (Shear)"/>
    <x v="0"/>
    <x v="0"/>
    <n v="0.94969999999999999"/>
  </r>
  <r>
    <s v="MNIST-C (Shear)"/>
    <x v="0"/>
    <x v="1"/>
    <n v="0.94889999999999997"/>
  </r>
  <r>
    <s v="MNIST-C (Shear)"/>
    <x v="0"/>
    <x v="2"/>
    <n v="0.89480000000000004"/>
  </r>
  <r>
    <s v="MNIST-C (Shear)"/>
    <x v="0"/>
    <x v="3"/>
    <n v="0.9718"/>
  </r>
  <r>
    <s v="MNIST-C (Shear)"/>
    <x v="0"/>
    <x v="4"/>
    <n v="0.9536"/>
  </r>
  <r>
    <s v="MNIST-C (Shear)"/>
    <x v="1"/>
    <x v="0"/>
    <n v="0.97450000000000003"/>
  </r>
  <r>
    <s v="MNIST-C (Shear)"/>
    <x v="1"/>
    <x v="1"/>
    <n v="0.97030000000000005"/>
  </r>
  <r>
    <s v="MNIST-C (Shear)"/>
    <x v="1"/>
    <x v="2"/>
    <n v="0.88629999999999998"/>
  </r>
  <r>
    <s v="MNIST-C (Shear)"/>
    <x v="1"/>
    <x v="3"/>
    <n v="0.97719999999999996"/>
  </r>
  <r>
    <s v="MNIST-C (Shear)"/>
    <x v="1"/>
    <x v="4"/>
    <n v="0.9516"/>
  </r>
  <r>
    <s v="MNIST-C (Shear)"/>
    <x v="2"/>
    <x v="0"/>
    <n v="0.97070000000000001"/>
  </r>
  <r>
    <s v="MNIST-C (Shear)"/>
    <x v="2"/>
    <x v="1"/>
    <n v="0.95750000000000002"/>
  </r>
  <r>
    <s v="MNIST-C (Shear)"/>
    <x v="2"/>
    <x v="2"/>
    <n v="0.90100000000000002"/>
  </r>
  <r>
    <s v="MNIST-C (Shear)"/>
    <x v="2"/>
    <x v="3"/>
    <n v="0.9778"/>
  </r>
  <r>
    <s v="MNIST-C (Shear)"/>
    <x v="2"/>
    <x v="4"/>
    <n v="0.95169999999999999"/>
  </r>
  <r>
    <s v="MNIST-C (Shear)"/>
    <x v="3"/>
    <x v="0"/>
    <n v="0.95409999999999995"/>
  </r>
  <r>
    <s v="MNIST-C (Shear)"/>
    <x v="3"/>
    <x v="1"/>
    <n v="0.96530000000000005"/>
  </r>
  <r>
    <s v="MNIST-C (Shear)"/>
    <x v="3"/>
    <x v="2"/>
    <n v="0.8931"/>
  </r>
  <r>
    <s v="MNIST-C (Shear)"/>
    <x v="3"/>
    <x v="3"/>
    <n v="0.94310000000000005"/>
  </r>
  <r>
    <s v="MNIST-C (Shear)"/>
    <x v="3"/>
    <x v="4"/>
    <n v="0.95469999999999999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MNIST-C (Shot Noise)"/>
    <x v="0"/>
    <x v="0"/>
    <n v="0.90400000000000003"/>
  </r>
  <r>
    <s v="MNIST-C (Shot Noise)"/>
    <x v="0"/>
    <x v="1"/>
    <n v="0.94869999999999999"/>
  </r>
  <r>
    <s v="MNIST-C (Shot Noise)"/>
    <x v="0"/>
    <x v="2"/>
    <n v="0.90129999999999999"/>
  </r>
  <r>
    <s v="MNIST-C (Shot Noise)"/>
    <x v="0"/>
    <x v="3"/>
    <n v="0.96819999999999995"/>
  </r>
  <r>
    <s v="MNIST-C (Shot Noise)"/>
    <x v="0"/>
    <x v="4"/>
    <n v="0.93130000000000002"/>
  </r>
  <r>
    <s v="MNIST-C (Shot Noise)"/>
    <x v="1"/>
    <x v="0"/>
    <n v="0.96479999999999999"/>
  </r>
  <r>
    <s v="MNIST-C (Shot Noise)"/>
    <x v="1"/>
    <x v="1"/>
    <n v="0.96679999999999999"/>
  </r>
  <r>
    <s v="MNIST-C (Shot Noise)"/>
    <x v="1"/>
    <x v="2"/>
    <n v="0.88749999999999996"/>
  </r>
  <r>
    <s v="MNIST-C (Shot Noise)"/>
    <x v="1"/>
    <x v="3"/>
    <n v="0.97499999999999998"/>
  </r>
  <r>
    <s v="MNIST-C (Shot Noise)"/>
    <x v="1"/>
    <x v="4"/>
    <n v="0.93230000000000002"/>
  </r>
  <r>
    <s v="MNIST-C (Shot Noise)"/>
    <x v="2"/>
    <x v="0"/>
    <n v="0.95760000000000001"/>
  </r>
  <r>
    <s v="MNIST-C (Shot Noise)"/>
    <x v="2"/>
    <x v="1"/>
    <n v="0.96020000000000005"/>
  </r>
  <r>
    <s v="MNIST-C (Shot Noise)"/>
    <x v="2"/>
    <x v="2"/>
    <n v="0.90790000000000004"/>
  </r>
  <r>
    <s v="MNIST-C (Shot Noise)"/>
    <x v="2"/>
    <x v="3"/>
    <n v="0.97840000000000005"/>
  </r>
  <r>
    <s v="MNIST-C (Shot Noise)"/>
    <x v="2"/>
    <x v="4"/>
    <n v="0.92930000000000001"/>
  </r>
  <r>
    <s v="MNIST-C (Shot Noise)"/>
    <x v="3"/>
    <x v="0"/>
    <n v="0.93600000000000005"/>
  </r>
  <r>
    <s v="MNIST-C (Shot Noise)"/>
    <x v="3"/>
    <x v="1"/>
    <n v="0.96360000000000001"/>
  </r>
  <r>
    <s v="MNIST-C (Shot Noise)"/>
    <x v="3"/>
    <x v="2"/>
    <n v="0.90139999999999998"/>
  </r>
  <r>
    <s v="MNIST-C (Shot Noise)"/>
    <x v="3"/>
    <x v="3"/>
    <n v="0.94789999999999996"/>
  </r>
  <r>
    <s v="MNIST-C (Shot Noise)"/>
    <x v="3"/>
    <x v="4"/>
    <n v="0.93540000000000001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MNIST-C (Spatter)"/>
    <x v="0"/>
    <x v="0"/>
    <n v="0.90449999999999997"/>
  </r>
  <r>
    <s v="MNIST-C (Spatter)"/>
    <x v="0"/>
    <x v="1"/>
    <n v="0.9194"/>
  </r>
  <r>
    <s v="MNIST-C (Spatter)"/>
    <x v="0"/>
    <x v="2"/>
    <n v="0.875"/>
  </r>
  <r>
    <s v="MNIST-C (Spatter)"/>
    <x v="0"/>
    <x v="3"/>
    <n v="0.96409999999999996"/>
  </r>
  <r>
    <s v="MNIST-C (Spatter)"/>
    <x v="0"/>
    <x v="4"/>
    <n v="0.9446"/>
  </r>
  <r>
    <s v="MNIST-C (Spatter)"/>
    <x v="1"/>
    <x v="0"/>
    <n v="0.95130000000000003"/>
  </r>
  <r>
    <s v="MNIST-C (Spatter)"/>
    <x v="1"/>
    <x v="1"/>
    <n v="0.94750000000000001"/>
  </r>
  <r>
    <s v="MNIST-C (Spatter)"/>
    <x v="1"/>
    <x v="2"/>
    <n v="0.84930000000000005"/>
  </r>
  <r>
    <s v="MNIST-C (Spatter)"/>
    <x v="1"/>
    <x v="3"/>
    <n v="0.97330000000000005"/>
  </r>
  <r>
    <s v="MNIST-C (Spatter)"/>
    <x v="1"/>
    <x v="4"/>
    <n v="0.94450000000000001"/>
  </r>
  <r>
    <s v="MNIST-C (Spatter)"/>
    <x v="2"/>
    <x v="0"/>
    <n v="0.94720000000000004"/>
  </r>
  <r>
    <s v="MNIST-C (Spatter)"/>
    <x v="2"/>
    <x v="1"/>
    <n v="0.94389999999999996"/>
  </r>
  <r>
    <s v="MNIST-C (Spatter)"/>
    <x v="2"/>
    <x v="2"/>
    <n v="0.88700000000000001"/>
  </r>
  <r>
    <s v="MNIST-C (Spatter)"/>
    <x v="2"/>
    <x v="3"/>
    <n v="0.97219999999999995"/>
  </r>
  <r>
    <s v="MNIST-C (Spatter)"/>
    <x v="2"/>
    <x v="4"/>
    <n v="0.94410000000000005"/>
  </r>
  <r>
    <s v="MNIST-C (Spatter)"/>
    <x v="3"/>
    <x v="0"/>
    <n v="0.92390000000000005"/>
  </r>
  <r>
    <s v="MNIST-C (Spatter)"/>
    <x v="3"/>
    <x v="1"/>
    <n v="0.95169999999999999"/>
  </r>
  <r>
    <s v="MNIST-C (Spatter)"/>
    <x v="3"/>
    <x v="2"/>
    <n v="0.87819999999999998"/>
  </r>
  <r>
    <s v="MNIST-C (Spatter)"/>
    <x v="3"/>
    <x v="3"/>
    <n v="0.93869999999999998"/>
  </r>
  <r>
    <s v="MNIST-C (Spatter)"/>
    <x v="3"/>
    <x v="4"/>
    <n v="0.94730000000000003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MNIST-C (Stripe)"/>
    <x v="0"/>
    <x v="0"/>
    <n v="0.95760000000000001"/>
  </r>
  <r>
    <s v="MNIST-C (Stripe)"/>
    <x v="0"/>
    <x v="1"/>
    <n v="0.73809999999999998"/>
  </r>
  <r>
    <s v="MNIST-C (Stripe)"/>
    <x v="0"/>
    <x v="2"/>
    <n v="0.91449999999999998"/>
  </r>
  <r>
    <s v="MNIST-C (Stripe)"/>
    <x v="0"/>
    <x v="3"/>
    <n v="0.97440000000000004"/>
  </r>
  <r>
    <s v="MNIST-C (Stripe)"/>
    <x v="0"/>
    <x v="4"/>
    <n v="0.95530000000000004"/>
  </r>
  <r>
    <s v="MNIST-C (Stripe)"/>
    <x v="1"/>
    <x v="0"/>
    <n v="0.97519999999999996"/>
  </r>
  <r>
    <s v="MNIST-C (Stripe)"/>
    <x v="1"/>
    <x v="1"/>
    <n v="0.77459999999999996"/>
  </r>
  <r>
    <s v="MNIST-C (Stripe)"/>
    <x v="1"/>
    <x v="2"/>
    <n v="0.90769999999999995"/>
  </r>
  <r>
    <s v="MNIST-C (Stripe)"/>
    <x v="1"/>
    <x v="3"/>
    <n v="0.98470000000000002"/>
  </r>
  <r>
    <s v="MNIST-C (Stripe)"/>
    <x v="1"/>
    <x v="4"/>
    <n v="0.95450000000000002"/>
  </r>
  <r>
    <s v="MNIST-C (Stripe)"/>
    <x v="2"/>
    <x v="0"/>
    <n v="0.96660000000000001"/>
  </r>
  <r>
    <s v="MNIST-C (Stripe)"/>
    <x v="2"/>
    <x v="1"/>
    <n v="0.72260000000000002"/>
  </r>
  <r>
    <s v="MNIST-C (Stripe)"/>
    <x v="2"/>
    <x v="2"/>
    <n v="0.92149999999999999"/>
  </r>
  <r>
    <s v="MNIST-C (Stripe)"/>
    <x v="2"/>
    <x v="3"/>
    <n v="0.98280000000000001"/>
  </r>
  <r>
    <s v="MNIST-C (Stripe)"/>
    <x v="2"/>
    <x v="4"/>
    <n v="0.95389999999999997"/>
  </r>
  <r>
    <s v="MNIST-C (Stripe)"/>
    <x v="3"/>
    <x v="0"/>
    <n v="0.96550000000000002"/>
  </r>
  <r>
    <s v="MNIST-C (Stripe)"/>
    <x v="3"/>
    <x v="1"/>
    <n v="0.77110000000000001"/>
  </r>
  <r>
    <s v="MNIST-C (Stripe)"/>
    <x v="3"/>
    <x v="2"/>
    <n v="0.91479999999999995"/>
  </r>
  <r>
    <s v="MNIST-C (Stripe)"/>
    <x v="3"/>
    <x v="3"/>
    <n v="0.9546"/>
  </r>
  <r>
    <s v="MNIST-C (Stripe)"/>
    <x v="3"/>
    <x v="4"/>
    <n v="0.95579999999999998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MNIST-C (Translate)"/>
    <x v="0"/>
    <x v="0"/>
    <n v="0.93920000000000003"/>
  </r>
  <r>
    <s v="MNIST-C (Translate)"/>
    <x v="0"/>
    <x v="1"/>
    <n v="0.95289999999999997"/>
  </r>
  <r>
    <s v="MNIST-C (Translate)"/>
    <x v="0"/>
    <x v="2"/>
    <n v="0.73280000000000001"/>
  </r>
  <r>
    <s v="MNIST-C (Translate)"/>
    <x v="0"/>
    <x v="3"/>
    <n v="0.96099999999999997"/>
  </r>
  <r>
    <s v="MNIST-C (Translate)"/>
    <x v="0"/>
    <x v="4"/>
    <n v="0.9335"/>
  </r>
  <r>
    <s v="MNIST-C (Translate)"/>
    <x v="1"/>
    <x v="0"/>
    <n v="0.95379999999999998"/>
  </r>
  <r>
    <s v="MNIST-C (Translate)"/>
    <x v="1"/>
    <x v="1"/>
    <n v="0.97319999999999995"/>
  </r>
  <r>
    <s v="MNIST-C (Translate)"/>
    <x v="1"/>
    <x v="2"/>
    <n v="0.71060000000000001"/>
  </r>
  <r>
    <s v="MNIST-C (Translate)"/>
    <x v="1"/>
    <x v="3"/>
    <n v="0.96660000000000001"/>
  </r>
  <r>
    <s v="MNIST-C (Translate)"/>
    <x v="1"/>
    <x v="4"/>
    <n v="0.9274"/>
  </r>
  <r>
    <s v="MNIST-C (Translate)"/>
    <x v="2"/>
    <x v="0"/>
    <n v="0.95620000000000005"/>
  </r>
  <r>
    <s v="MNIST-C (Translate)"/>
    <x v="2"/>
    <x v="1"/>
    <n v="0.96240000000000003"/>
  </r>
  <r>
    <s v="MNIST-C (Translate)"/>
    <x v="2"/>
    <x v="2"/>
    <n v="0.75260000000000005"/>
  </r>
  <r>
    <s v="MNIST-C (Translate)"/>
    <x v="2"/>
    <x v="3"/>
    <n v="0.96640000000000004"/>
  </r>
  <r>
    <s v="MNIST-C (Translate)"/>
    <x v="2"/>
    <x v="4"/>
    <n v="0.92730000000000001"/>
  </r>
  <r>
    <s v="MNIST-C (Translate)"/>
    <x v="3"/>
    <x v="0"/>
    <n v="0.90659999999999996"/>
  </r>
  <r>
    <s v="MNIST-C (Translate)"/>
    <x v="3"/>
    <x v="1"/>
    <n v="0.96530000000000005"/>
  </r>
  <r>
    <s v="MNIST-C (Translate)"/>
    <x v="3"/>
    <x v="2"/>
    <n v="0.74150000000000005"/>
  </r>
  <r>
    <s v="MNIST-C (Translate)"/>
    <x v="3"/>
    <x v="3"/>
    <n v="0.9123"/>
  </r>
  <r>
    <s v="MNIST-C (Translate)"/>
    <x v="3"/>
    <x v="4"/>
    <n v="0.937300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E3F1B7-A040-4300-9E8C-0F1302FCA95E}" name="Tabela przestawna9" cacheId="52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>
  <location ref="F42:K47" firstHeaderRow="1" firstDataRow="2" firstDataCol="1"/>
  <pivotFields count="4"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7">
        <item x="0"/>
        <item x="1"/>
        <item x="2"/>
        <item x="3"/>
        <item m="1" x="5"/>
        <item x="4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2"/>
  </colFields>
  <colItems count="5">
    <i>
      <x/>
    </i>
    <i>
      <x v="1"/>
    </i>
    <i>
      <x v="2"/>
    </i>
    <i>
      <x v="3"/>
    </i>
    <i>
      <x v="5"/>
    </i>
  </colItems>
  <dataFields count="1">
    <dataField name="Maksimum z Accuracy" fld="3" subtotal="max" baseField="1" baseItem="0"/>
  </dataFields>
  <conditionalFormats count="1">
    <conditionalFormat scope="data" priority="4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CD95E-2130-45C9-AA6C-67A99B37DC1A}" name="Tabela przestawna8" cacheId="47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>
  <location ref="F22:K27" firstHeaderRow="1" firstDataRow="2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7">
        <item x="0"/>
        <item x="1"/>
        <item x="2"/>
        <item x="3"/>
        <item m="1" x="5"/>
        <item x="4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1"/>
  </colFields>
  <colItems count="5">
    <i>
      <x/>
    </i>
    <i>
      <x v="1"/>
    </i>
    <i>
      <x v="2"/>
    </i>
    <i>
      <x v="3"/>
    </i>
    <i>
      <x v="5"/>
    </i>
  </colItems>
  <dataFields count="1">
    <dataField name="Maksimum z Accuracy" fld="2" subtotal="max" baseField="0" baseItem="0"/>
  </dataFields>
  <conditionalFormats count="1">
    <conditionalFormat scope="data" priority="5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A992A6-54B3-43CA-9EF6-E8C36C5C6104}" name="Tabela przestawna5" cacheId="17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>
  <location ref="F2:K7" firstHeaderRow="1" firstDataRow="2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7">
        <item x="0"/>
        <item x="1"/>
        <item x="2"/>
        <item x="3"/>
        <item m="1" x="5"/>
        <item x="4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1"/>
  </colFields>
  <colItems count="5">
    <i>
      <x/>
    </i>
    <i>
      <x v="1"/>
    </i>
    <i>
      <x v="2"/>
    </i>
    <i>
      <x v="3"/>
    </i>
    <i>
      <x v="5"/>
    </i>
  </colItems>
  <dataFields count="1">
    <dataField name="Maksimum z Accuracy" fld="2" subtotal="max" baseField="0" baseItem="0"/>
  </dataFields>
  <conditionalFormats count="1">
    <conditionalFormat scope="data" priority="6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1D50D8-466E-41AA-A58D-09BDCFFE70D1}" name="Tabela przestawna12" cacheId="67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>
  <location ref="F102:K107" firstHeaderRow="1" firstDataRow="2" firstDataCol="1"/>
  <pivotFields count="4"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7">
        <item x="0"/>
        <item x="1"/>
        <item x="2"/>
        <item x="3"/>
        <item m="1" x="5"/>
        <item x="4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2"/>
  </colFields>
  <colItems count="5">
    <i>
      <x/>
    </i>
    <i>
      <x v="1"/>
    </i>
    <i>
      <x v="2"/>
    </i>
    <i>
      <x v="3"/>
    </i>
    <i>
      <x v="5"/>
    </i>
  </colItems>
  <dataFields count="1">
    <dataField name="Maksimum z Accuracy" fld="3" subtotal="max" baseField="1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B33176-C033-48AC-B015-1FDF923696FE}" name="Tabela przestawna11" cacheId="62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>
  <location ref="F82:K87" firstHeaderRow="1" firstDataRow="2" firstDataCol="1"/>
  <pivotFields count="4"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7">
        <item x="0"/>
        <item x="1"/>
        <item x="2"/>
        <item x="3"/>
        <item m="1" x="5"/>
        <item x="4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2"/>
  </colFields>
  <colItems count="5">
    <i>
      <x/>
    </i>
    <i>
      <x v="1"/>
    </i>
    <i>
      <x v="2"/>
    </i>
    <i>
      <x v="3"/>
    </i>
    <i>
      <x v="5"/>
    </i>
  </colItems>
  <dataFields count="1">
    <dataField name="Maksimum z Accuracy" fld="3" subtotal="max" baseField="1" baseItem="0"/>
  </dataFields>
  <conditionalFormats count="1">
    <conditionalFormat scope="data" priority="2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CFAD9-C005-41A8-994D-BA5172388953}" name="Tabela przestawna10" cacheId="57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>
  <location ref="F62:K67" firstHeaderRow="1" firstDataRow="2" firstDataCol="1"/>
  <pivotFields count="4"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7">
        <item x="0"/>
        <item x="1"/>
        <item x="2"/>
        <item x="3"/>
        <item m="1" x="5"/>
        <item x="4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2"/>
  </colFields>
  <colItems count="5">
    <i>
      <x/>
    </i>
    <i>
      <x v="1"/>
    </i>
    <i>
      <x v="2"/>
    </i>
    <i>
      <x v="3"/>
    </i>
    <i>
      <x v="5"/>
    </i>
  </colItems>
  <dataFields count="1">
    <dataField name="Maksimum z Accuracy" fld="3" subtotal="max" baseField="1" baseItem="0"/>
  </dataFields>
  <conditionalFormats count="1">
    <conditionalFormat scope="data" priority="3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12A4D1-2E33-4EA8-987A-A2162A69421C}" name="Tabela przestawna30" cacheId="189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>
  <location ref="F295:K300" firstHeaderRow="1" firstDataRow="2" firstDataCol="1"/>
  <pivotFields count="4"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2"/>
  </colFields>
  <colItems count="5">
    <i>
      <x/>
    </i>
    <i>
      <x v="1"/>
    </i>
    <i>
      <x v="2"/>
    </i>
    <i>
      <x v="3"/>
    </i>
    <i>
      <x v="4"/>
    </i>
  </colItems>
  <dataFields count="1">
    <dataField name="Suma z Accuracy" fld="3" baseField="0" baseItem="0" numFmtId="10"/>
  </dataFields>
  <formats count="1">
    <format dxfId="0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CF2328-215E-4540-A636-4F606B03F77C}" name="Tabela przestawna27" cacheId="178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>
  <location ref="F274:K279" firstHeaderRow="1" firstDataRow="2" firstDataCol="1"/>
  <pivotFields count="4"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2"/>
  </colFields>
  <colItems count="5">
    <i>
      <x/>
    </i>
    <i>
      <x v="1"/>
    </i>
    <i>
      <x v="2"/>
    </i>
    <i>
      <x v="3"/>
    </i>
    <i>
      <x v="4"/>
    </i>
  </colItems>
  <dataFields count="1">
    <dataField name="Suma z Accuracy" fld="3" baseField="0" baseItem="0" numFmtId="10"/>
  </dataFields>
  <formats count="1">
    <format dxfId="3">
      <pivotArea outline="0" collapsedLevelsAreSubtotals="1" fieldPosition="0"/>
    </format>
  </formats>
  <conditionalFormats count="1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244BCA-20D4-420B-A6F5-3B4846797C1C}" name="Tabela przestawna26" cacheId="173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>
  <location ref="F253:K258" firstHeaderRow="1" firstDataRow="2" firstDataCol="1"/>
  <pivotFields count="4"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2"/>
  </colFields>
  <colItems count="5">
    <i>
      <x/>
    </i>
    <i>
      <x v="1"/>
    </i>
    <i>
      <x v="2"/>
    </i>
    <i>
      <x v="3"/>
    </i>
    <i>
      <x v="4"/>
    </i>
  </colItems>
  <dataFields count="1">
    <dataField name="Suma z Accuracy" fld="3" baseField="0" baseItem="0" numFmtId="10"/>
  </dataFields>
  <formats count="1">
    <format dxfId="4">
      <pivotArea outline="0" collapsedLevelsAreSubtotals="1" fieldPosition="0"/>
    </format>
  </formats>
  <conditionalFormats count="1"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5667B-82FC-4385-95BB-8A6205ED6C02}" name="Tabela przestawna25" cacheId="168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>
  <location ref="F232:K237" firstHeaderRow="1" firstDataRow="2" firstDataCol="1"/>
  <pivotFields count="4"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2"/>
  </colFields>
  <colItems count="5">
    <i>
      <x/>
    </i>
    <i>
      <x v="1"/>
    </i>
    <i>
      <x v="2"/>
    </i>
    <i>
      <x v="3"/>
    </i>
    <i>
      <x v="4"/>
    </i>
  </colItems>
  <dataFields count="1">
    <dataField name="Suma z Accuracy" fld="3" baseField="0" baseItem="0" numFmtId="10"/>
  </dataFields>
  <formats count="1">
    <format dxfId="5">
      <pivotArea outline="0" collapsedLevelsAreSubtotals="1" fieldPosition="0"/>
    </format>
  </formats>
  <conditionalFormats count="1"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154502-9EF3-4EB0-9137-CDBDCD280423}" name="Tabela przestawna24" cacheId="163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>
  <location ref="F211:K216" firstHeaderRow="1" firstDataRow="2" firstDataCol="1"/>
  <pivotFields count="4"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2"/>
  </colFields>
  <colItems count="5">
    <i>
      <x/>
    </i>
    <i>
      <x v="1"/>
    </i>
    <i>
      <x v="2"/>
    </i>
    <i>
      <x v="3"/>
    </i>
    <i>
      <x v="4"/>
    </i>
  </colItems>
  <dataFields count="1">
    <dataField name="Suma z Accuracy" fld="3" baseField="0" baseItem="0" numFmtId="10"/>
  </dataFields>
  <formats count="1">
    <format dxfId="6">
      <pivotArea outline="0" collapsedLevelsAreSubtotals="1" fieldPosition="0"/>
    </format>
  </formats>
  <conditionalFormats count="1">
    <conditionalFormat priority="6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2ACE8-31AA-4BCE-9A7D-8D856D73D842}" name="Tabela przestawna23" cacheId="158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>
  <location ref="F190:K195" firstHeaderRow="1" firstDataRow="2" firstDataCol="1"/>
  <pivotFields count="4"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2"/>
  </colFields>
  <colItems count="5">
    <i>
      <x/>
    </i>
    <i>
      <x v="1"/>
    </i>
    <i>
      <x v="2"/>
    </i>
    <i>
      <x v="3"/>
    </i>
    <i>
      <x v="4"/>
    </i>
  </colItems>
  <dataFields count="1">
    <dataField name="Suma z Accuracy" fld="3" baseField="0" baseItem="0" numFmtId="10"/>
  </dataFields>
  <formats count="1">
    <format dxfId="7">
      <pivotArea outline="0" collapsedLevelsAreSubtotals="1" fieldPosition="0"/>
    </format>
  </formats>
  <conditionalFormats count="1">
    <conditionalFormat priority="7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B54BDC-A4CC-4719-ADAF-27949A3F72EA}" name="Tabela przestawna19" cacheId="144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>
  <location ref="F316:K321" firstHeaderRow="1" firstDataRow="2" firstDataCol="1"/>
  <pivotFields count="4"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2"/>
  </colFields>
  <colItems count="5">
    <i>
      <x/>
    </i>
    <i>
      <x v="1"/>
    </i>
    <i>
      <x v="2"/>
    </i>
    <i>
      <x v="3"/>
    </i>
    <i>
      <x v="4"/>
    </i>
  </colItems>
  <dataFields count="1">
    <dataField name="Suma z Accuracy" fld="3" baseField="0" baseItem="0"/>
  </dataFields>
  <formats count="1">
    <format dxfId="2">
      <pivotArea collapsedLevelsAreSubtotals="1" fieldPosition="0">
        <references count="1">
          <reference field="1" count="0"/>
        </references>
      </pivotArea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E781C6-02A3-4F6C-BBF8-E5E174B06555}" name="Tabela przestawna6" cacheId="94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>
  <location ref="F169:K174" firstHeaderRow="1" firstDataRow="2" firstDataCol="1"/>
  <pivotFields count="4">
    <pivotField showAll="0"/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6">
        <item x="0"/>
        <item x="4"/>
        <item x="2"/>
        <item x="1"/>
        <item x="3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2"/>
  </colFields>
  <colItems count="5">
    <i>
      <x/>
    </i>
    <i>
      <x v="1"/>
    </i>
    <i>
      <x v="2"/>
    </i>
    <i>
      <x v="3"/>
    </i>
    <i>
      <x v="4"/>
    </i>
  </colItems>
  <dataFields count="1">
    <dataField name="Suma z Accuracy" fld="3" baseField="0" baseItem="0" numFmtId="10"/>
  </dataFields>
  <formats count="2">
    <format dxfId="9">
      <pivotArea collapsedLevelsAreSubtotals="1" fieldPosition="0">
        <references count="2">
          <reference field="1" count="1">
            <x v="0"/>
          </reference>
          <reference field="2" count="1" selected="0">
            <x v="0"/>
          </reference>
        </references>
      </pivotArea>
    </format>
    <format dxfId="8">
      <pivotArea outline="0" collapsedLevelsAreSubtotals="1" fieldPosition="0"/>
    </format>
  </formats>
  <conditionalFormats count="1">
    <conditionalFormat priority="8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9DA73D-7D29-4FD1-BE0D-B43A8ADCB2CB}" name="Tabela przestawna4" cacheId="89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>
  <location ref="F148:K153" firstHeaderRow="1" firstDataRow="2" firstDataCol="1"/>
  <pivotFields count="4">
    <pivotField showAll="0"/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6">
        <item x="0"/>
        <item x="4"/>
        <item x="2"/>
        <item x="1"/>
        <item x="3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2"/>
  </colFields>
  <colItems count="5">
    <i>
      <x/>
    </i>
    <i>
      <x v="1"/>
    </i>
    <i>
      <x v="2"/>
    </i>
    <i>
      <x v="3"/>
    </i>
    <i>
      <x v="4"/>
    </i>
  </colItems>
  <dataFields count="1">
    <dataField name="Suma z Accuracy" fld="3" baseField="0" baseItem="0"/>
  </dataFields>
  <formats count="1">
    <format dxfId="10">
      <pivotArea collapsedLevelsAreSubtotals="1" fieldPosition="0">
        <references count="2">
          <reference field="1" count="1">
            <x v="0"/>
          </reference>
          <reference field="2" count="1" selected="0">
            <x v="0"/>
          </reference>
        </references>
      </pivotArea>
    </format>
  </formats>
  <conditionalFormats count="1">
    <conditionalFormat priority="9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606A84-52F0-424F-B333-8E6F769C9DF0}" name="Tabela przestawna3" cacheId="84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>
  <location ref="F127:K132" firstHeaderRow="1" firstDataRow="2" firstDataCol="1"/>
  <pivotFields count="4">
    <pivotField showAll="0"/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6">
        <item x="0"/>
        <item x="4"/>
        <item x="2"/>
        <item x="1"/>
        <item x="3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2"/>
  </colFields>
  <colItems count="5">
    <i>
      <x/>
    </i>
    <i>
      <x v="1"/>
    </i>
    <i>
      <x v="2"/>
    </i>
    <i>
      <x v="3"/>
    </i>
    <i>
      <x v="4"/>
    </i>
  </colItems>
  <dataFields count="1">
    <dataField name="Suma z Accuracy" fld="3" baseField="0" baseItem="0"/>
  </dataFields>
  <formats count="1">
    <format dxfId="11">
      <pivotArea collapsedLevelsAreSubtotals="1" fieldPosition="0">
        <references count="2">
          <reference field="1" count="1">
            <x v="0"/>
          </reference>
          <reference field="2" count="1" selected="0">
            <x v="0"/>
          </reference>
        </references>
      </pivotArea>
    </format>
  </formats>
  <conditionalFormats count="1">
    <conditionalFormat priority="10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B0572-D4D6-4813-86A1-55079738D0CB}" name="Tabela przestawna10" cacheId="57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>
  <location ref="F62:K67" firstHeaderRow="1" firstDataRow="2" firstDataCol="1"/>
  <pivotFields count="4"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7">
        <item x="0"/>
        <item x="1"/>
        <item x="2"/>
        <item x="3"/>
        <item m="1" x="5"/>
        <item x="4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2"/>
  </colFields>
  <colItems count="5">
    <i>
      <x/>
    </i>
    <i>
      <x v="1"/>
    </i>
    <i>
      <x v="2"/>
    </i>
    <i>
      <x v="3"/>
    </i>
    <i>
      <x v="5"/>
    </i>
  </colItems>
  <dataFields count="1">
    <dataField name="Maksimum z Accuracy" fld="3" subtotal="max" baseField="1" baseItem="0"/>
  </dataFields>
  <formats count="1">
    <format dxfId="14">
      <pivotArea collapsedLevelsAreSubtotals="1" fieldPosition="0">
        <references count="2">
          <reference field="1" count="1">
            <x v="0"/>
          </reference>
          <reference field="2" count="1" selected="0">
            <x v="0"/>
          </reference>
        </references>
      </pivotArea>
    </format>
  </formats>
  <conditionalFormats count="1">
    <conditionalFormat priority="2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BEA8BC-EDB7-4FC6-B0DF-286DD304DEC8}" name="Tabela przestawna11" cacheId="62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>
  <location ref="F82:K87" firstHeaderRow="1" firstDataRow="2" firstDataCol="1"/>
  <pivotFields count="4"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7">
        <item x="0"/>
        <item x="1"/>
        <item x="2"/>
        <item x="3"/>
        <item m="1" x="5"/>
        <item x="4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2"/>
  </colFields>
  <colItems count="5">
    <i>
      <x/>
    </i>
    <i>
      <x v="1"/>
    </i>
    <i>
      <x v="2"/>
    </i>
    <i>
      <x v="3"/>
    </i>
    <i>
      <x v="5"/>
    </i>
  </colItems>
  <dataFields count="1">
    <dataField name="Maksimum z Accuracy" fld="3" subtotal="max" baseField="1" baseItem="0"/>
  </dataFields>
  <formats count="1">
    <format dxfId="13">
      <pivotArea collapsedLevelsAreSubtotals="1" fieldPosition="0">
        <references count="2">
          <reference field="1" count="1">
            <x v="0"/>
          </reference>
          <reference field="2" count="1" selected="0">
            <x v="0"/>
          </reference>
        </references>
      </pivotArea>
    </format>
  </formats>
  <conditionalFormats count="1">
    <conditionalFormat priority="2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3728F-1A71-45FE-9C89-5C15D9425B65}" name="Tabela przestawna12" cacheId="67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>
  <location ref="F102:K107" firstHeaderRow="1" firstDataRow="2" firstDataCol="1"/>
  <pivotFields count="4"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7">
        <item x="0"/>
        <item x="1"/>
        <item x="2"/>
        <item x="3"/>
        <item m="1" x="5"/>
        <item x="4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2"/>
  </colFields>
  <colItems count="5">
    <i>
      <x/>
    </i>
    <i>
      <x v="1"/>
    </i>
    <i>
      <x v="2"/>
    </i>
    <i>
      <x v="3"/>
    </i>
    <i>
      <x v="5"/>
    </i>
  </colItems>
  <dataFields count="1">
    <dataField name="Maksimum z Accuracy" fld="3" subtotal="max" baseField="1" baseItem="0"/>
  </dataFields>
  <formats count="1">
    <format dxfId="12">
      <pivotArea collapsedLevelsAreSubtotals="1" fieldPosition="0">
        <references count="2">
          <reference field="1" count="1">
            <x v="0"/>
          </reference>
          <reference field="2" count="1" selected="0">
            <x v="0"/>
          </reference>
        </references>
      </pivotArea>
    </format>
  </formats>
  <conditionalFormats count="1">
    <conditionalFormat priority="2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3162DB-0AFE-47D3-A375-7AFD462B08EF}" name="Tabela przestawna5" cacheId="17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>
  <location ref="F2:K7" firstHeaderRow="1" firstDataRow="2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7">
        <item x="0"/>
        <item x="1"/>
        <item x="2"/>
        <item x="3"/>
        <item m="1" x="5"/>
        <item x="4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1"/>
  </colFields>
  <colItems count="5">
    <i>
      <x/>
    </i>
    <i>
      <x v="1"/>
    </i>
    <i>
      <x v="2"/>
    </i>
    <i>
      <x v="3"/>
    </i>
    <i>
      <x v="5"/>
    </i>
  </colItems>
  <dataFields count="1">
    <dataField name="Maksimum z Accuracy" fld="2" subtotal="max" baseField="0" baseItem="0" numFmtId="10"/>
  </dataFields>
  <formats count="1">
    <format dxfId="16">
      <pivotArea outline="0" collapsedLevelsAreSubtotals="1" fieldPosition="0"/>
    </format>
  </formats>
  <conditionalFormats count="1">
    <conditionalFormat scope="data" priority="3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CB87AA-0A6E-4043-B863-0D82A5B458F7}" name="Tabela przestawna8" cacheId="47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>
  <location ref="F22:K27" firstHeaderRow="1" firstDataRow="2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7">
        <item x="0"/>
        <item x="1"/>
        <item x="2"/>
        <item x="3"/>
        <item m="1" x="5"/>
        <item x="4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1"/>
  </colFields>
  <colItems count="5">
    <i>
      <x/>
    </i>
    <i>
      <x v="1"/>
    </i>
    <i>
      <x v="2"/>
    </i>
    <i>
      <x v="3"/>
    </i>
    <i>
      <x v="5"/>
    </i>
  </colItems>
  <dataFields count="1">
    <dataField name="Maksimum z Accuracy" fld="2" subtotal="max" baseField="0" baseItem="0"/>
  </dataFields>
  <formats count="1">
    <format dxfId="15">
      <pivotArea collapsedLevelsAreSubtotals="1" fieldPosition="0">
        <references count="2">
          <reference field="0" count="1">
            <x v="0"/>
          </reference>
          <reference field="1" count="1" selected="0">
            <x v="0"/>
          </reference>
        </references>
      </pivotArea>
    </format>
  </formats>
  <conditionalFormats count="1">
    <conditionalFormat priority="25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9ACCE-A447-4D67-B38F-1FBAFA2F3061}" name="Tabela przestawna9" cacheId="52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>
  <location ref="F42:K47" firstHeaderRow="1" firstDataRow="2" firstDataCol="1"/>
  <pivotFields count="4"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7">
        <item x="0"/>
        <item x="1"/>
        <item x="2"/>
        <item x="3"/>
        <item m="1" x="5"/>
        <item x="4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2"/>
  </colFields>
  <colItems count="5">
    <i>
      <x/>
    </i>
    <i>
      <x v="1"/>
    </i>
    <i>
      <x v="2"/>
    </i>
    <i>
      <x v="3"/>
    </i>
    <i>
      <x v="5"/>
    </i>
  </colItems>
  <dataFields count="1">
    <dataField name="Maksimum z Accuracy" fld="3" subtotal="max" baseField="1" baseItem="0"/>
  </dataFields>
  <conditionalFormats count="1">
    <conditionalFormat priority="24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4.xml"/><Relationship Id="rId13" Type="http://schemas.openxmlformats.org/officeDocument/2006/relationships/pivotTable" Target="../pivotTables/pivotTable19.xml"/><Relationship Id="rId3" Type="http://schemas.openxmlformats.org/officeDocument/2006/relationships/pivotTable" Target="../pivotTables/pivotTable9.xml"/><Relationship Id="rId7" Type="http://schemas.openxmlformats.org/officeDocument/2006/relationships/pivotTable" Target="../pivotTables/pivotTable13.xml"/><Relationship Id="rId12" Type="http://schemas.openxmlformats.org/officeDocument/2006/relationships/pivotTable" Target="../pivotTables/pivotTable18.xml"/><Relationship Id="rId1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8.xml"/><Relationship Id="rId16" Type="http://schemas.openxmlformats.org/officeDocument/2006/relationships/pivotTable" Target="../pivotTables/pivotTable22.xml"/><Relationship Id="rId1" Type="http://schemas.openxmlformats.org/officeDocument/2006/relationships/pivotTable" Target="../pivotTables/pivotTable7.xml"/><Relationship Id="rId6" Type="http://schemas.openxmlformats.org/officeDocument/2006/relationships/pivotTable" Target="../pivotTables/pivotTable12.xml"/><Relationship Id="rId11" Type="http://schemas.openxmlformats.org/officeDocument/2006/relationships/pivotTable" Target="../pivotTables/pivotTable17.xml"/><Relationship Id="rId5" Type="http://schemas.openxmlformats.org/officeDocument/2006/relationships/pivotTable" Target="../pivotTables/pivotTable11.xml"/><Relationship Id="rId15" Type="http://schemas.openxmlformats.org/officeDocument/2006/relationships/pivotTable" Target="../pivotTables/pivotTable21.xml"/><Relationship Id="rId10" Type="http://schemas.openxmlformats.org/officeDocument/2006/relationships/pivotTable" Target="../pivotTables/pivotTable16.xml"/><Relationship Id="rId4" Type="http://schemas.openxmlformats.org/officeDocument/2006/relationships/pivotTable" Target="../pivotTables/pivotTable10.xml"/><Relationship Id="rId9" Type="http://schemas.openxmlformats.org/officeDocument/2006/relationships/pivotTable" Target="../pivotTables/pivotTable15.xml"/><Relationship Id="rId14" Type="http://schemas.openxmlformats.org/officeDocument/2006/relationships/pivotTable" Target="../pivotTables/pivot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4A53A-C058-4D20-93B5-B335AAD76FD8}">
  <dimension ref="A1:R121"/>
  <sheetViews>
    <sheetView workbookViewId="0">
      <selection activeCell="D19" sqref="D19"/>
    </sheetView>
  </sheetViews>
  <sheetFormatPr defaultRowHeight="14.4" x14ac:dyDescent="0.3"/>
  <cols>
    <col min="2" max="2" width="15.44140625" bestFit="1" customWidth="1"/>
    <col min="3" max="3" width="20.33203125" bestFit="1" customWidth="1"/>
    <col min="4" max="4" width="8.88671875" bestFit="1" customWidth="1"/>
    <col min="5" max="5" width="15" bestFit="1" customWidth="1"/>
    <col min="6" max="6" width="20.33203125" bestFit="1" customWidth="1"/>
    <col min="7" max="7" width="16.77734375" bestFit="1" customWidth="1"/>
    <col min="8" max="8" width="21.88671875" bestFit="1" customWidth="1"/>
    <col min="9" max="9" width="14.5546875" bestFit="1" customWidth="1"/>
    <col min="10" max="10" width="13.88671875" bestFit="1" customWidth="1"/>
    <col min="11" max="11" width="18.77734375" bestFit="1" customWidth="1"/>
    <col min="12" max="12" width="19.77734375" bestFit="1" customWidth="1"/>
    <col min="13" max="13" width="21.33203125" bestFit="1" customWidth="1"/>
    <col min="14" max="14" width="10.77734375" bestFit="1" customWidth="1"/>
    <col min="15" max="17" width="19.77734375" bestFit="1" customWidth="1"/>
    <col min="18" max="18" width="24.109375" bestFit="1" customWidth="1"/>
    <col min="19" max="19" width="15.77734375" bestFit="1" customWidth="1"/>
    <col min="20" max="20" width="17.77734375" bestFit="1" customWidth="1"/>
    <col min="21" max="21" width="15.44140625" bestFit="1" customWidth="1"/>
  </cols>
  <sheetData>
    <row r="1" spans="1:18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</row>
    <row r="2" spans="1:18" x14ac:dyDescent="0.3">
      <c r="A2" s="9">
        <v>81</v>
      </c>
      <c r="B2" s="10" t="s">
        <v>31</v>
      </c>
      <c r="C2" s="10" t="s">
        <v>19</v>
      </c>
      <c r="D2" s="10" t="s">
        <v>20</v>
      </c>
      <c r="E2" s="10">
        <v>4.3318599986378097E-2</v>
      </c>
      <c r="F2" s="11">
        <v>60000</v>
      </c>
      <c r="G2" s="11">
        <v>10000</v>
      </c>
      <c r="H2" s="10">
        <v>21.586998099984999</v>
      </c>
      <c r="I2" s="11">
        <v>9714</v>
      </c>
      <c r="J2" s="11">
        <v>286</v>
      </c>
      <c r="K2" s="10">
        <v>0.97140000000000004</v>
      </c>
      <c r="L2" s="10">
        <v>0.97203330999644</v>
      </c>
      <c r="M2" s="10">
        <v>0.97139999999999904</v>
      </c>
      <c r="N2" s="10">
        <v>0.97143593147632801</v>
      </c>
      <c r="O2" s="10">
        <v>0.5</v>
      </c>
      <c r="P2" s="11">
        <v>7</v>
      </c>
      <c r="Q2" s="11">
        <v>99999999</v>
      </c>
      <c r="R2" s="12">
        <v>784</v>
      </c>
    </row>
    <row r="3" spans="1:18" x14ac:dyDescent="0.3">
      <c r="A3" s="9">
        <v>97</v>
      </c>
      <c r="B3" s="10" t="s">
        <v>31</v>
      </c>
      <c r="C3" s="10" t="s">
        <v>19</v>
      </c>
      <c r="D3" s="10" t="s">
        <v>26</v>
      </c>
      <c r="E3" s="10">
        <v>8.0118000041693397E-3</v>
      </c>
      <c r="F3" s="11">
        <v>60000</v>
      </c>
      <c r="G3" s="11">
        <v>10000</v>
      </c>
      <c r="H3" s="10">
        <v>15.981876100006</v>
      </c>
      <c r="I3" s="11">
        <v>9610</v>
      </c>
      <c r="J3" s="11">
        <v>390</v>
      </c>
      <c r="K3" s="10">
        <v>0.96099999999999997</v>
      </c>
      <c r="L3" s="10">
        <v>0.96133952053002902</v>
      </c>
      <c r="M3" s="10">
        <v>0.96099999999999997</v>
      </c>
      <c r="N3" s="10">
        <v>0.96100817509407099</v>
      </c>
      <c r="O3" s="10">
        <v>0.228580506497157</v>
      </c>
      <c r="P3" s="11">
        <v>7</v>
      </c>
      <c r="Q3" s="11">
        <v>99999999</v>
      </c>
      <c r="R3" s="12">
        <v>43</v>
      </c>
    </row>
    <row r="4" spans="1:18" x14ac:dyDescent="0.3">
      <c r="A4" s="9">
        <v>89</v>
      </c>
      <c r="B4" s="10" t="s">
        <v>31</v>
      </c>
      <c r="C4" s="10" t="s">
        <v>19</v>
      </c>
      <c r="D4" s="10" t="s">
        <v>25</v>
      </c>
      <c r="E4" s="10">
        <v>0.114514300017617</v>
      </c>
      <c r="F4" s="11">
        <v>60000</v>
      </c>
      <c r="G4" s="11">
        <v>10000</v>
      </c>
      <c r="H4" s="10">
        <v>14.223639599978901</v>
      </c>
      <c r="I4" s="11">
        <v>9549</v>
      </c>
      <c r="J4" s="11">
        <v>451</v>
      </c>
      <c r="K4" s="10">
        <v>0.95489999999999997</v>
      </c>
      <c r="L4" s="10">
        <v>0.95490214131404105</v>
      </c>
      <c r="M4" s="10">
        <v>0.95489999999999997</v>
      </c>
      <c r="N4" s="10">
        <v>0.95480551322215701</v>
      </c>
      <c r="O4" s="10">
        <v>0.5</v>
      </c>
      <c r="P4" s="11">
        <v>7</v>
      </c>
      <c r="Q4" s="11">
        <v>99999999</v>
      </c>
      <c r="R4" s="12">
        <v>9</v>
      </c>
    </row>
    <row r="5" spans="1:18" x14ac:dyDescent="0.3">
      <c r="A5" s="9">
        <v>85</v>
      </c>
      <c r="B5" s="10" t="s">
        <v>31</v>
      </c>
      <c r="C5" s="10" t="s">
        <v>19</v>
      </c>
      <c r="D5" s="10" t="s">
        <v>24</v>
      </c>
      <c r="E5" s="10">
        <v>7.7560999779962003E-3</v>
      </c>
      <c r="F5" s="11">
        <v>60000</v>
      </c>
      <c r="G5" s="11">
        <v>10000</v>
      </c>
      <c r="H5" s="10">
        <v>11.3441261000116</v>
      </c>
      <c r="I5" s="11">
        <v>9829</v>
      </c>
      <c r="J5" s="11">
        <v>171</v>
      </c>
      <c r="K5" s="10">
        <v>0.9829</v>
      </c>
      <c r="L5" s="10">
        <v>0.98294718963625505</v>
      </c>
      <c r="M5" s="10">
        <v>0.9829</v>
      </c>
      <c r="N5" s="10">
        <v>0.98288707910383799</v>
      </c>
      <c r="O5" s="10">
        <v>0.5</v>
      </c>
      <c r="P5" s="11">
        <v>7</v>
      </c>
      <c r="Q5" s="11">
        <v>99999999</v>
      </c>
      <c r="R5" s="12">
        <v>43</v>
      </c>
    </row>
    <row r="6" spans="1:18" x14ac:dyDescent="0.3">
      <c r="A6" s="9">
        <v>93</v>
      </c>
      <c r="B6" s="10" t="s">
        <v>31</v>
      </c>
      <c r="C6" s="10" t="s">
        <v>19</v>
      </c>
      <c r="D6" s="10" t="s">
        <v>39</v>
      </c>
      <c r="E6" s="10">
        <v>7.4387000058777604E-3</v>
      </c>
      <c r="F6" s="11">
        <v>60000</v>
      </c>
      <c r="G6" s="11">
        <v>10000</v>
      </c>
      <c r="H6" s="10">
        <v>159.04236170003401</v>
      </c>
      <c r="I6" s="11">
        <v>9716</v>
      </c>
      <c r="J6" s="11">
        <v>284</v>
      </c>
      <c r="K6" s="10">
        <v>0.97160000000000002</v>
      </c>
      <c r="L6" s="10">
        <v>0.97190231344560496</v>
      </c>
      <c r="M6" s="10">
        <v>0.97159999999999902</v>
      </c>
      <c r="N6" s="10">
        <v>0.97160443230036297</v>
      </c>
      <c r="O6" s="10">
        <v>0.5</v>
      </c>
      <c r="P6" s="11">
        <v>7</v>
      </c>
      <c r="Q6" s="11">
        <v>99999999</v>
      </c>
      <c r="R6" s="12">
        <v>43</v>
      </c>
    </row>
    <row r="7" spans="1:18" x14ac:dyDescent="0.3">
      <c r="A7" s="9">
        <v>83</v>
      </c>
      <c r="B7" s="10" t="s">
        <v>31</v>
      </c>
      <c r="C7" s="10" t="s">
        <v>22</v>
      </c>
      <c r="D7" s="10" t="s">
        <v>20</v>
      </c>
      <c r="E7" s="10">
        <v>233.868717100005</v>
      </c>
      <c r="F7" s="11">
        <v>60000</v>
      </c>
      <c r="G7" s="11">
        <v>10000</v>
      </c>
      <c r="H7" s="10">
        <v>247.05979939998301</v>
      </c>
      <c r="I7" s="11">
        <v>9810</v>
      </c>
      <c r="J7" s="11">
        <v>190</v>
      </c>
      <c r="K7" s="10">
        <v>0.98099999999999998</v>
      </c>
      <c r="L7" s="10">
        <v>0.98106903045663796</v>
      </c>
      <c r="M7" s="10">
        <v>0.98099999999999998</v>
      </c>
      <c r="N7" s="10">
        <v>0.98101774736205205</v>
      </c>
      <c r="O7" s="10">
        <v>0.5</v>
      </c>
      <c r="P7" s="11">
        <v>7</v>
      </c>
      <c r="Q7" s="11">
        <v>99999999</v>
      </c>
      <c r="R7" s="12">
        <v>784</v>
      </c>
    </row>
    <row r="8" spans="1:18" x14ac:dyDescent="0.3">
      <c r="A8" s="9">
        <v>99</v>
      </c>
      <c r="B8" s="10" t="s">
        <v>31</v>
      </c>
      <c r="C8" s="10" t="s">
        <v>22</v>
      </c>
      <c r="D8" s="10" t="s">
        <v>26</v>
      </c>
      <c r="E8" s="10">
        <v>874.67321199999401</v>
      </c>
      <c r="F8" s="11">
        <v>60000</v>
      </c>
      <c r="G8" s="11">
        <v>10000</v>
      </c>
      <c r="H8" s="10">
        <v>890.32681080000395</v>
      </c>
      <c r="I8" s="11">
        <v>9805</v>
      </c>
      <c r="J8" s="11">
        <v>195</v>
      </c>
      <c r="K8" s="10">
        <v>0.98050000000000004</v>
      </c>
      <c r="L8" s="10">
        <v>0.98055894455971604</v>
      </c>
      <c r="M8" s="10">
        <v>0.98049999999999904</v>
      </c>
      <c r="N8" s="10">
        <v>0.98051084269747402</v>
      </c>
      <c r="O8" s="10">
        <v>0.228580506497157</v>
      </c>
      <c r="P8" s="11">
        <v>7</v>
      </c>
      <c r="Q8" s="11">
        <v>99999999</v>
      </c>
      <c r="R8" s="12">
        <v>43</v>
      </c>
    </row>
    <row r="9" spans="1:18" x14ac:dyDescent="0.3">
      <c r="A9" s="9">
        <v>91</v>
      </c>
      <c r="B9" s="10" t="s">
        <v>31</v>
      </c>
      <c r="C9" s="10" t="s">
        <v>22</v>
      </c>
      <c r="D9" s="10" t="s">
        <v>25</v>
      </c>
      <c r="E9" s="10">
        <v>230.04759179998601</v>
      </c>
      <c r="F9" s="11">
        <v>60000</v>
      </c>
      <c r="G9" s="11">
        <v>10000</v>
      </c>
      <c r="H9" s="10">
        <v>243.57353990001101</v>
      </c>
      <c r="I9" s="11">
        <v>9515</v>
      </c>
      <c r="J9" s="11">
        <v>485</v>
      </c>
      <c r="K9" s="10">
        <v>0.95150000000000001</v>
      </c>
      <c r="L9" s="10">
        <v>0.95172256818713596</v>
      </c>
      <c r="M9" s="10">
        <v>0.95150000000000001</v>
      </c>
      <c r="N9" s="10">
        <v>0.95152705632091295</v>
      </c>
      <c r="O9" s="10">
        <v>0.5</v>
      </c>
      <c r="P9" s="11">
        <v>7</v>
      </c>
      <c r="Q9" s="11">
        <v>99999999</v>
      </c>
      <c r="R9" s="12">
        <v>9</v>
      </c>
    </row>
    <row r="10" spans="1:18" x14ac:dyDescent="0.3">
      <c r="A10" s="9">
        <v>87</v>
      </c>
      <c r="B10" s="10" t="s">
        <v>31</v>
      </c>
      <c r="C10" s="10" t="s">
        <v>22</v>
      </c>
      <c r="D10" s="10" t="s">
        <v>24</v>
      </c>
      <c r="E10" s="10">
        <v>80.924375500006093</v>
      </c>
      <c r="F10" s="11">
        <v>60000</v>
      </c>
      <c r="G10" s="11">
        <v>10000</v>
      </c>
      <c r="H10" s="10">
        <v>90.4274096000008</v>
      </c>
      <c r="I10" s="11">
        <v>9838</v>
      </c>
      <c r="J10" s="11">
        <v>162</v>
      </c>
      <c r="K10" s="10">
        <v>0.98380000000000001</v>
      </c>
      <c r="L10" s="10">
        <v>0.98386229301329398</v>
      </c>
      <c r="M10" s="10">
        <v>0.98380000000000001</v>
      </c>
      <c r="N10" s="10">
        <v>0.98380004571417401</v>
      </c>
      <c r="O10" s="10">
        <v>0.5</v>
      </c>
      <c r="P10" s="11">
        <v>7</v>
      </c>
      <c r="Q10" s="11">
        <v>99999999</v>
      </c>
      <c r="R10" s="12">
        <v>43</v>
      </c>
    </row>
    <row r="11" spans="1:18" x14ac:dyDescent="0.3">
      <c r="A11" s="9">
        <v>95</v>
      </c>
      <c r="B11" s="10" t="s">
        <v>31</v>
      </c>
      <c r="C11" s="10" t="s">
        <v>22</v>
      </c>
      <c r="D11" s="10" t="s">
        <v>39</v>
      </c>
      <c r="E11" s="10">
        <v>497.86331240000402</v>
      </c>
      <c r="F11" s="11">
        <v>60000</v>
      </c>
      <c r="G11" s="11">
        <v>10000</v>
      </c>
      <c r="H11" s="10">
        <v>652.30314959998896</v>
      </c>
      <c r="I11" s="11">
        <v>9707</v>
      </c>
      <c r="J11" s="11">
        <v>293</v>
      </c>
      <c r="K11" s="10">
        <v>0.97070000000000001</v>
      </c>
      <c r="L11" s="10">
        <v>0.97104662679399101</v>
      </c>
      <c r="M11" s="10">
        <v>0.97070000000000001</v>
      </c>
      <c r="N11" s="10">
        <v>0.97070636167715496</v>
      </c>
      <c r="O11" s="10">
        <v>0.5</v>
      </c>
      <c r="P11" s="11">
        <v>7</v>
      </c>
      <c r="Q11" s="11">
        <v>99999999</v>
      </c>
      <c r="R11" s="12">
        <v>43</v>
      </c>
    </row>
    <row r="12" spans="1:18" x14ac:dyDescent="0.3">
      <c r="A12" s="13">
        <v>84</v>
      </c>
      <c r="B12" s="14" t="s">
        <v>31</v>
      </c>
      <c r="C12" s="14" t="s">
        <v>23</v>
      </c>
      <c r="D12" s="14" t="s">
        <v>20</v>
      </c>
      <c r="E12" s="14">
        <v>156.95868099998901</v>
      </c>
      <c r="F12" s="15">
        <v>60000</v>
      </c>
      <c r="G12" s="15">
        <v>10000</v>
      </c>
      <c r="H12" s="14">
        <v>234.45229400001699</v>
      </c>
      <c r="I12" s="15">
        <v>9813</v>
      </c>
      <c r="J12" s="15">
        <v>187</v>
      </c>
      <c r="K12" s="14">
        <v>0.98129999999999995</v>
      </c>
      <c r="L12" s="14">
        <v>0.98134643739272998</v>
      </c>
      <c r="M12" s="14">
        <v>0.98129999999999995</v>
      </c>
      <c r="N12" s="14">
        <v>0.98131045383329596</v>
      </c>
      <c r="O12" s="14">
        <v>0.5</v>
      </c>
      <c r="P12" s="15">
        <v>7</v>
      </c>
      <c r="Q12" s="15">
        <v>99999999</v>
      </c>
      <c r="R12" s="16">
        <v>784</v>
      </c>
    </row>
    <row r="13" spans="1:18" x14ac:dyDescent="0.3">
      <c r="A13" s="13">
        <v>100</v>
      </c>
      <c r="B13" s="14" t="s">
        <v>31</v>
      </c>
      <c r="C13" s="14" t="s">
        <v>23</v>
      </c>
      <c r="D13" s="14" t="s">
        <v>26</v>
      </c>
      <c r="E13" s="14">
        <v>22.073518500022999</v>
      </c>
      <c r="F13" s="15">
        <v>60000</v>
      </c>
      <c r="G13" s="15">
        <v>10000</v>
      </c>
      <c r="H13" s="14">
        <v>43.234459300001603</v>
      </c>
      <c r="I13" s="15">
        <v>9702</v>
      </c>
      <c r="J13" s="15">
        <v>298</v>
      </c>
      <c r="K13" s="14">
        <v>0.97019999999999995</v>
      </c>
      <c r="L13" s="14">
        <v>0.97036014944559601</v>
      </c>
      <c r="M13" s="14">
        <v>0.97019999999999995</v>
      </c>
      <c r="N13" s="14">
        <v>0.97021929565021003</v>
      </c>
      <c r="O13" s="14">
        <v>0.228580506497157</v>
      </c>
      <c r="P13" s="15">
        <v>7</v>
      </c>
      <c r="Q13" s="15">
        <v>99999999</v>
      </c>
      <c r="R13" s="16">
        <v>43</v>
      </c>
    </row>
    <row r="14" spans="1:18" x14ac:dyDescent="0.3">
      <c r="A14" s="13">
        <v>92</v>
      </c>
      <c r="B14" s="14" t="s">
        <v>31</v>
      </c>
      <c r="C14" s="14" t="s">
        <v>23</v>
      </c>
      <c r="D14" s="14" t="s">
        <v>25</v>
      </c>
      <c r="E14" s="14">
        <v>8.0271572999772598</v>
      </c>
      <c r="F14" s="15">
        <v>60000</v>
      </c>
      <c r="G14" s="15">
        <v>10000</v>
      </c>
      <c r="H14" s="14">
        <v>27.254270299978</v>
      </c>
      <c r="I14" s="15">
        <v>9548</v>
      </c>
      <c r="J14" s="15">
        <v>452</v>
      </c>
      <c r="K14" s="14">
        <v>0.95479999999999998</v>
      </c>
      <c r="L14" s="14">
        <v>0.95475861081326097</v>
      </c>
      <c r="M14" s="14">
        <v>0.95479999999999998</v>
      </c>
      <c r="N14" s="14">
        <v>0.95470902860545703</v>
      </c>
      <c r="O14" s="14">
        <v>0.5</v>
      </c>
      <c r="P14" s="15">
        <v>7</v>
      </c>
      <c r="Q14" s="15">
        <v>99999999</v>
      </c>
      <c r="R14" s="16">
        <v>9</v>
      </c>
    </row>
    <row r="15" spans="1:18" x14ac:dyDescent="0.3">
      <c r="A15" s="13">
        <v>88</v>
      </c>
      <c r="B15" s="14" t="s">
        <v>31</v>
      </c>
      <c r="C15" s="14" t="s">
        <v>23</v>
      </c>
      <c r="D15" s="14" t="s">
        <v>24</v>
      </c>
      <c r="E15" s="14">
        <v>19.6270238999859</v>
      </c>
      <c r="F15" s="15">
        <v>60000</v>
      </c>
      <c r="G15" s="15">
        <v>10000</v>
      </c>
      <c r="H15" s="14">
        <v>36.370339100016203</v>
      </c>
      <c r="I15" s="15">
        <v>9839</v>
      </c>
      <c r="J15" s="15">
        <v>161</v>
      </c>
      <c r="K15" s="14">
        <v>0.9839</v>
      </c>
      <c r="L15" s="14">
        <v>0.98392821806817798</v>
      </c>
      <c r="M15" s="14">
        <v>0.9839</v>
      </c>
      <c r="N15" s="14">
        <v>0.983901753185074</v>
      </c>
      <c r="O15" s="14">
        <v>0.5</v>
      </c>
      <c r="P15" s="15">
        <v>7</v>
      </c>
      <c r="Q15" s="15">
        <v>99999999</v>
      </c>
      <c r="R15" s="16">
        <v>43</v>
      </c>
    </row>
    <row r="16" spans="1:18" x14ac:dyDescent="0.3">
      <c r="A16" s="13">
        <v>96</v>
      </c>
      <c r="B16" s="14" t="s">
        <v>31</v>
      </c>
      <c r="C16" s="14" t="s">
        <v>23</v>
      </c>
      <c r="D16" s="14" t="s">
        <v>39</v>
      </c>
      <c r="E16" s="14">
        <v>9.8515889999689499</v>
      </c>
      <c r="F16" s="15">
        <v>60000</v>
      </c>
      <c r="G16" s="15">
        <v>10000</v>
      </c>
      <c r="H16" s="14">
        <v>182.21736169996399</v>
      </c>
      <c r="I16" s="15">
        <v>9705</v>
      </c>
      <c r="J16" s="15">
        <v>295</v>
      </c>
      <c r="K16" s="14">
        <v>0.97050000000000003</v>
      </c>
      <c r="L16" s="14">
        <v>0.97084379715411795</v>
      </c>
      <c r="M16" s="14">
        <v>0.97050000000000003</v>
      </c>
      <c r="N16" s="14">
        <v>0.97050535397565096</v>
      </c>
      <c r="O16" s="14">
        <v>0.5</v>
      </c>
      <c r="P16" s="15">
        <v>7</v>
      </c>
      <c r="Q16" s="15">
        <v>99999999</v>
      </c>
      <c r="R16" s="16">
        <v>43</v>
      </c>
    </row>
    <row r="17" spans="1:18" x14ac:dyDescent="0.3">
      <c r="A17" s="13">
        <v>82</v>
      </c>
      <c r="B17" s="14" t="s">
        <v>31</v>
      </c>
      <c r="C17" s="14" t="s">
        <v>21</v>
      </c>
      <c r="D17" s="14" t="s">
        <v>20</v>
      </c>
      <c r="E17" s="14">
        <v>31.8031437000026</v>
      </c>
      <c r="F17" s="15">
        <v>60000</v>
      </c>
      <c r="G17" s="15">
        <v>10000</v>
      </c>
      <c r="H17" s="14">
        <v>46.3245004999917</v>
      </c>
      <c r="I17" s="15">
        <v>9725</v>
      </c>
      <c r="J17" s="15">
        <v>275</v>
      </c>
      <c r="K17" s="14">
        <v>0.97250000000000003</v>
      </c>
      <c r="L17" s="14">
        <v>0.97260698477554797</v>
      </c>
      <c r="M17" s="14">
        <v>0.97249999999999903</v>
      </c>
      <c r="N17" s="14">
        <v>0.97250857249745104</v>
      </c>
      <c r="O17" s="14">
        <v>0.5</v>
      </c>
      <c r="P17" s="15">
        <v>7</v>
      </c>
      <c r="Q17" s="15">
        <v>99999999</v>
      </c>
      <c r="R17" s="16">
        <v>784</v>
      </c>
    </row>
    <row r="18" spans="1:18" x14ac:dyDescent="0.3">
      <c r="A18" s="13">
        <v>98</v>
      </c>
      <c r="B18" s="14" t="s">
        <v>31</v>
      </c>
      <c r="C18" s="14" t="s">
        <v>21</v>
      </c>
      <c r="D18" s="14" t="s">
        <v>26</v>
      </c>
      <c r="E18" s="14">
        <v>6.3870798000134501</v>
      </c>
      <c r="F18" s="15">
        <v>60000</v>
      </c>
      <c r="G18" s="15">
        <v>10000</v>
      </c>
      <c r="H18" s="14">
        <v>21.182053000025899</v>
      </c>
      <c r="I18" s="15">
        <v>9794</v>
      </c>
      <c r="J18" s="15">
        <v>206</v>
      </c>
      <c r="K18" s="14">
        <v>0.97940000000000005</v>
      </c>
      <c r="L18" s="14">
        <v>0.97944219653499398</v>
      </c>
      <c r="M18" s="14">
        <v>0.97940000000000005</v>
      </c>
      <c r="N18" s="14">
        <v>0.97941048703479305</v>
      </c>
      <c r="O18" s="14">
        <v>0.228580506497157</v>
      </c>
      <c r="P18" s="15">
        <v>7</v>
      </c>
      <c r="Q18" s="15">
        <v>99999999</v>
      </c>
      <c r="R18" s="16">
        <v>43</v>
      </c>
    </row>
    <row r="19" spans="1:18" x14ac:dyDescent="0.3">
      <c r="A19" s="13">
        <v>90</v>
      </c>
      <c r="B19" s="14" t="s">
        <v>31</v>
      </c>
      <c r="C19" s="14" t="s">
        <v>21</v>
      </c>
      <c r="D19" s="14" t="s">
        <v>25</v>
      </c>
      <c r="E19" s="14">
        <v>4.4682682999991803</v>
      </c>
      <c r="F19" s="15">
        <v>60000</v>
      </c>
      <c r="G19" s="15">
        <v>10000</v>
      </c>
      <c r="H19" s="14">
        <v>18.2760247999685</v>
      </c>
      <c r="I19" s="15">
        <v>9530</v>
      </c>
      <c r="J19" s="15">
        <v>470</v>
      </c>
      <c r="K19" s="14">
        <v>0.95299999999999996</v>
      </c>
      <c r="L19" s="14">
        <v>0.95292649197435497</v>
      </c>
      <c r="M19" s="14">
        <v>0.95299999999999996</v>
      </c>
      <c r="N19" s="14">
        <v>0.95293441421809999</v>
      </c>
      <c r="O19" s="14">
        <v>0.5</v>
      </c>
      <c r="P19" s="15">
        <v>7</v>
      </c>
      <c r="Q19" s="15">
        <v>99999999</v>
      </c>
      <c r="R19" s="16">
        <v>9</v>
      </c>
    </row>
    <row r="20" spans="1:18" x14ac:dyDescent="0.3">
      <c r="A20" s="13">
        <v>86</v>
      </c>
      <c r="B20" s="14" t="s">
        <v>31</v>
      </c>
      <c r="C20" s="14" t="s">
        <v>21</v>
      </c>
      <c r="D20" s="14" t="s">
        <v>24</v>
      </c>
      <c r="E20" s="14">
        <v>10.584259900031601</v>
      </c>
      <c r="F20" s="15">
        <v>60000</v>
      </c>
      <c r="G20" s="15">
        <v>10000</v>
      </c>
      <c r="H20" s="14">
        <v>20.005621700023699</v>
      </c>
      <c r="I20" s="15">
        <v>9749</v>
      </c>
      <c r="J20" s="15">
        <v>251</v>
      </c>
      <c r="K20" s="14">
        <v>0.97489999999999999</v>
      </c>
      <c r="L20" s="14">
        <v>0.97502344019499898</v>
      </c>
      <c r="M20" s="14">
        <v>0.97489999999999899</v>
      </c>
      <c r="N20" s="14">
        <v>0.97491266070591498</v>
      </c>
      <c r="O20" s="14">
        <v>0.5</v>
      </c>
      <c r="P20" s="15">
        <v>7</v>
      </c>
      <c r="Q20" s="15">
        <v>99999999</v>
      </c>
      <c r="R20" s="16">
        <v>43</v>
      </c>
    </row>
    <row r="21" spans="1:18" x14ac:dyDescent="0.3">
      <c r="A21" s="13">
        <v>94</v>
      </c>
      <c r="B21" s="14" t="s">
        <v>31</v>
      </c>
      <c r="C21" s="14" t="s">
        <v>21</v>
      </c>
      <c r="D21" s="14" t="s">
        <v>39</v>
      </c>
      <c r="E21" s="14">
        <v>8.1007896999944897</v>
      </c>
      <c r="F21" s="15">
        <v>60000</v>
      </c>
      <c r="G21" s="15">
        <v>10000</v>
      </c>
      <c r="H21" s="14">
        <v>168.20107569999499</v>
      </c>
      <c r="I21" s="15">
        <v>9711</v>
      </c>
      <c r="J21" s="15">
        <v>289</v>
      </c>
      <c r="K21" s="14">
        <v>0.97109999999999996</v>
      </c>
      <c r="L21" s="14">
        <v>0.97138427130541305</v>
      </c>
      <c r="M21" s="14">
        <v>0.97109999999999896</v>
      </c>
      <c r="N21" s="14">
        <v>0.97110075241972504</v>
      </c>
      <c r="O21" s="14">
        <v>0.5</v>
      </c>
      <c r="P21" s="15">
        <v>7</v>
      </c>
      <c r="Q21" s="15">
        <v>99999999</v>
      </c>
      <c r="R21" s="16">
        <v>43</v>
      </c>
    </row>
    <row r="22" spans="1:18" x14ac:dyDescent="0.3">
      <c r="A22" s="9">
        <v>41</v>
      </c>
      <c r="B22" s="10" t="s">
        <v>28</v>
      </c>
      <c r="C22" s="10" t="s">
        <v>19</v>
      </c>
      <c r="D22" s="10" t="s">
        <v>20</v>
      </c>
      <c r="E22" s="10">
        <v>6.1867999960668302E-2</v>
      </c>
      <c r="F22" s="11">
        <v>112800</v>
      </c>
      <c r="G22" s="11">
        <v>18800</v>
      </c>
      <c r="H22" s="10">
        <v>33.787893700005903</v>
      </c>
      <c r="I22" s="11">
        <v>14043</v>
      </c>
      <c r="J22" s="11">
        <v>4757</v>
      </c>
      <c r="K22" s="10">
        <v>0.74696808510638302</v>
      </c>
      <c r="L22" s="10">
        <v>0.76729902955773399</v>
      </c>
      <c r="M22" s="10">
        <v>0.74696808510638202</v>
      </c>
      <c r="N22" s="10">
        <v>0.74861255050703901</v>
      </c>
      <c r="O22" s="10">
        <v>0.5</v>
      </c>
      <c r="P22" s="11">
        <v>7</v>
      </c>
      <c r="Q22" s="11">
        <v>99999999</v>
      </c>
      <c r="R22" s="12">
        <v>784</v>
      </c>
    </row>
    <row r="23" spans="1:18" x14ac:dyDescent="0.3">
      <c r="A23" s="9">
        <v>57</v>
      </c>
      <c r="B23" s="10" t="s">
        <v>28</v>
      </c>
      <c r="C23" s="10" t="s">
        <v>19</v>
      </c>
      <c r="D23" s="10" t="s">
        <v>26</v>
      </c>
      <c r="E23" s="10">
        <v>7.3275999748147998E-3</v>
      </c>
      <c r="F23" s="11">
        <v>112800</v>
      </c>
      <c r="G23" s="11">
        <v>18800</v>
      </c>
      <c r="H23" s="10">
        <v>18.885192599962402</v>
      </c>
      <c r="I23" s="11">
        <v>12453</v>
      </c>
      <c r="J23" s="11">
        <v>6347</v>
      </c>
      <c r="K23" s="10">
        <v>0.66239361702127597</v>
      </c>
      <c r="L23" s="10">
        <v>0.668162369809987</v>
      </c>
      <c r="M23" s="10">
        <v>0.66239361702127597</v>
      </c>
      <c r="N23" s="10">
        <v>0.65915907644049099</v>
      </c>
      <c r="O23" s="10">
        <v>0.228580506497157</v>
      </c>
      <c r="P23" s="11">
        <v>7</v>
      </c>
      <c r="Q23" s="11">
        <v>99999999</v>
      </c>
      <c r="R23" s="12">
        <v>43</v>
      </c>
    </row>
    <row r="24" spans="1:18" x14ac:dyDescent="0.3">
      <c r="A24" s="9">
        <v>49</v>
      </c>
      <c r="B24" s="10" t="s">
        <v>28</v>
      </c>
      <c r="C24" s="10" t="s">
        <v>19</v>
      </c>
      <c r="D24" s="10" t="s">
        <v>25</v>
      </c>
      <c r="E24" s="10">
        <v>8.9149000123143196E-3</v>
      </c>
      <c r="F24" s="11">
        <v>112800</v>
      </c>
      <c r="G24" s="11">
        <v>18800</v>
      </c>
      <c r="H24" s="10">
        <v>24.4330673000076</v>
      </c>
      <c r="I24" s="11">
        <v>13998</v>
      </c>
      <c r="J24" s="11">
        <v>4802</v>
      </c>
      <c r="K24" s="10">
        <v>0.74457446808510597</v>
      </c>
      <c r="L24" s="10">
        <v>0.75133471359702497</v>
      </c>
      <c r="M24" s="10">
        <v>0.74457446808510597</v>
      </c>
      <c r="N24" s="10">
        <v>0.74272538390084997</v>
      </c>
      <c r="O24" s="10">
        <v>0.5</v>
      </c>
      <c r="P24" s="11">
        <v>7</v>
      </c>
      <c r="Q24" s="11">
        <v>99999999</v>
      </c>
      <c r="R24" s="12">
        <v>46</v>
      </c>
    </row>
    <row r="25" spans="1:18" x14ac:dyDescent="0.3">
      <c r="A25" s="9">
        <v>45</v>
      </c>
      <c r="B25" s="10" t="s">
        <v>28</v>
      </c>
      <c r="C25" s="10" t="s">
        <v>19</v>
      </c>
      <c r="D25" s="10" t="s">
        <v>24</v>
      </c>
      <c r="E25" s="10">
        <v>9.2171999858692202E-3</v>
      </c>
      <c r="F25" s="11">
        <v>112800</v>
      </c>
      <c r="G25" s="11">
        <v>18800</v>
      </c>
      <c r="H25" s="10">
        <v>14.900036700011601</v>
      </c>
      <c r="I25" s="11">
        <v>15172</v>
      </c>
      <c r="J25" s="11">
        <v>3628</v>
      </c>
      <c r="K25" s="10">
        <v>0.80702127659574396</v>
      </c>
      <c r="L25" s="10">
        <v>0.81091684953480703</v>
      </c>
      <c r="M25" s="10">
        <v>0.80702127659574396</v>
      </c>
      <c r="N25" s="10">
        <v>0.80633483151691299</v>
      </c>
      <c r="O25" s="10">
        <v>0.5</v>
      </c>
      <c r="P25" s="11">
        <v>7</v>
      </c>
      <c r="Q25" s="11">
        <v>99999999</v>
      </c>
      <c r="R25" s="12">
        <v>43</v>
      </c>
    </row>
    <row r="26" spans="1:18" x14ac:dyDescent="0.3">
      <c r="A26" s="9">
        <v>53</v>
      </c>
      <c r="B26" s="10" t="s">
        <v>28</v>
      </c>
      <c r="C26" s="10" t="s">
        <v>19</v>
      </c>
      <c r="D26" s="10" t="s">
        <v>39</v>
      </c>
      <c r="E26" s="10">
        <v>7.0030000060796703E-3</v>
      </c>
      <c r="F26" s="11">
        <v>112800</v>
      </c>
      <c r="G26" s="11">
        <v>18800</v>
      </c>
      <c r="H26" s="10">
        <v>225.26699289999601</v>
      </c>
      <c r="I26" s="11">
        <v>13507</v>
      </c>
      <c r="J26" s="11">
        <v>5293</v>
      </c>
      <c r="K26" s="10">
        <v>0.71845744680850998</v>
      </c>
      <c r="L26" s="10">
        <v>0.73189393227264199</v>
      </c>
      <c r="M26" s="10">
        <v>0.71845744680850998</v>
      </c>
      <c r="N26" s="10">
        <v>0.71927223812419605</v>
      </c>
      <c r="O26" s="10">
        <v>0.5</v>
      </c>
      <c r="P26" s="11">
        <v>7</v>
      </c>
      <c r="Q26" s="11">
        <v>99999999</v>
      </c>
      <c r="R26" s="12">
        <v>43</v>
      </c>
    </row>
    <row r="27" spans="1:18" x14ac:dyDescent="0.3">
      <c r="A27" s="9">
        <v>43</v>
      </c>
      <c r="B27" s="10" t="s">
        <v>28</v>
      </c>
      <c r="C27" s="10" t="s">
        <v>22</v>
      </c>
      <c r="D27" s="10" t="s">
        <v>20</v>
      </c>
      <c r="E27" s="10">
        <v>837.38595480000299</v>
      </c>
      <c r="F27" s="11">
        <v>112800</v>
      </c>
      <c r="G27" s="11">
        <v>18800</v>
      </c>
      <c r="H27" s="10">
        <v>855.94289109995498</v>
      </c>
      <c r="I27" s="11">
        <v>15050</v>
      </c>
      <c r="J27" s="11">
        <v>3750</v>
      </c>
      <c r="K27" s="10">
        <v>0.80053191489361697</v>
      </c>
      <c r="L27" s="10">
        <v>0.80310223981532902</v>
      </c>
      <c r="M27" s="10">
        <v>0.80053191489361697</v>
      </c>
      <c r="N27" s="10">
        <v>0.80082243783747598</v>
      </c>
      <c r="O27" s="10">
        <v>0.5</v>
      </c>
      <c r="P27" s="11">
        <v>7</v>
      </c>
      <c r="Q27" s="11">
        <v>99999999</v>
      </c>
      <c r="R27" s="12">
        <v>784</v>
      </c>
    </row>
    <row r="28" spans="1:18" x14ac:dyDescent="0.3">
      <c r="A28" s="9">
        <v>59</v>
      </c>
      <c r="B28" s="10" t="s">
        <v>28</v>
      </c>
      <c r="C28" s="10" t="s">
        <v>22</v>
      </c>
      <c r="D28" s="10" t="s">
        <v>26</v>
      </c>
      <c r="E28" s="10">
        <v>3386.4148829000101</v>
      </c>
      <c r="F28" s="11">
        <v>112800</v>
      </c>
      <c r="G28" s="11">
        <v>18800</v>
      </c>
      <c r="H28" s="10">
        <v>3403.5016593999999</v>
      </c>
      <c r="I28" s="11">
        <v>14279</v>
      </c>
      <c r="J28" s="11">
        <v>4521</v>
      </c>
      <c r="K28" s="10">
        <v>0.75952127659574398</v>
      </c>
      <c r="L28" s="10">
        <v>0.75932792789358505</v>
      </c>
      <c r="M28" s="10">
        <v>0.75952127659574398</v>
      </c>
      <c r="N28" s="10">
        <v>0.75773027711126695</v>
      </c>
      <c r="O28" s="10">
        <v>0.228580506497157</v>
      </c>
      <c r="P28" s="11">
        <v>7</v>
      </c>
      <c r="Q28" s="11">
        <v>99999999</v>
      </c>
      <c r="R28" s="12">
        <v>43</v>
      </c>
    </row>
    <row r="29" spans="1:18" x14ac:dyDescent="0.3">
      <c r="A29" s="9">
        <v>51</v>
      </c>
      <c r="B29" s="10" t="s">
        <v>28</v>
      </c>
      <c r="C29" s="10" t="s">
        <v>22</v>
      </c>
      <c r="D29" s="10" t="s">
        <v>25</v>
      </c>
      <c r="E29" s="10">
        <v>517.33843569998805</v>
      </c>
      <c r="F29" s="11">
        <v>112800</v>
      </c>
      <c r="G29" s="11">
        <v>18800</v>
      </c>
      <c r="H29" s="10">
        <v>539.76032960001601</v>
      </c>
      <c r="I29" s="11">
        <v>14409</v>
      </c>
      <c r="J29" s="11">
        <v>4391</v>
      </c>
      <c r="K29" s="10">
        <v>0.766436170212766</v>
      </c>
      <c r="L29" s="10">
        <v>0.76616798065094804</v>
      </c>
      <c r="M29" s="10">
        <v>0.766436170212766</v>
      </c>
      <c r="N29" s="10">
        <v>0.765796336194559</v>
      </c>
      <c r="O29" s="10">
        <v>0.5</v>
      </c>
      <c r="P29" s="11">
        <v>7</v>
      </c>
      <c r="Q29" s="11">
        <v>99999999</v>
      </c>
      <c r="R29" s="12">
        <v>46</v>
      </c>
    </row>
    <row r="30" spans="1:18" x14ac:dyDescent="0.3">
      <c r="A30" s="9">
        <v>47</v>
      </c>
      <c r="B30" s="10" t="s">
        <v>28</v>
      </c>
      <c r="C30" s="10" t="s">
        <v>22</v>
      </c>
      <c r="D30" s="10" t="s">
        <v>24</v>
      </c>
      <c r="E30" s="10">
        <v>381.28973419999198</v>
      </c>
      <c r="F30" s="11">
        <v>112800</v>
      </c>
      <c r="G30" s="11">
        <v>18800</v>
      </c>
      <c r="H30" s="10">
        <v>393.912726300011</v>
      </c>
      <c r="I30" s="11">
        <v>15483</v>
      </c>
      <c r="J30" s="11">
        <v>3317</v>
      </c>
      <c r="K30" s="10">
        <v>0.82356382978723397</v>
      </c>
      <c r="L30" s="10">
        <v>0.82505338744919399</v>
      </c>
      <c r="M30" s="10">
        <v>0.82356382978723397</v>
      </c>
      <c r="N30" s="10">
        <v>0.82211825292602003</v>
      </c>
      <c r="O30" s="10">
        <v>0.5</v>
      </c>
      <c r="P30" s="11">
        <v>7</v>
      </c>
      <c r="Q30" s="11">
        <v>99999999</v>
      </c>
      <c r="R30" s="12">
        <v>43</v>
      </c>
    </row>
    <row r="31" spans="1:18" x14ac:dyDescent="0.3">
      <c r="A31" s="9">
        <v>55</v>
      </c>
      <c r="B31" s="10" t="s">
        <v>28</v>
      </c>
      <c r="C31" s="10" t="s">
        <v>22</v>
      </c>
      <c r="D31" s="10" t="s">
        <v>39</v>
      </c>
      <c r="E31" s="10">
        <v>986.21124490001205</v>
      </c>
      <c r="F31" s="11">
        <v>112800</v>
      </c>
      <c r="G31" s="11">
        <v>18800</v>
      </c>
      <c r="H31" s="10">
        <v>1208.31559839996</v>
      </c>
      <c r="I31" s="11">
        <v>13438</v>
      </c>
      <c r="J31" s="11">
        <v>5362</v>
      </c>
      <c r="K31" s="10">
        <v>0.71478723404255295</v>
      </c>
      <c r="L31" s="10">
        <v>0.74088818266035905</v>
      </c>
      <c r="M31" s="10">
        <v>0.71478723404255295</v>
      </c>
      <c r="N31" s="10">
        <v>0.71164097382238301</v>
      </c>
      <c r="O31" s="10">
        <v>0.5</v>
      </c>
      <c r="P31" s="11">
        <v>7</v>
      </c>
      <c r="Q31" s="11">
        <v>99999999</v>
      </c>
      <c r="R31" s="12">
        <v>43</v>
      </c>
    </row>
    <row r="32" spans="1:18" x14ac:dyDescent="0.3">
      <c r="A32" s="13">
        <v>44</v>
      </c>
      <c r="B32" s="14" t="s">
        <v>28</v>
      </c>
      <c r="C32" s="14" t="s">
        <v>23</v>
      </c>
      <c r="D32" s="14" t="s">
        <v>20</v>
      </c>
      <c r="E32" s="14">
        <v>1264.9332845000299</v>
      </c>
      <c r="F32" s="15">
        <v>112800</v>
      </c>
      <c r="G32" s="15">
        <v>18800</v>
      </c>
      <c r="H32" s="14">
        <v>1962.3754692999601</v>
      </c>
      <c r="I32" s="15">
        <v>15552</v>
      </c>
      <c r="J32" s="15">
        <v>3248</v>
      </c>
      <c r="K32" s="14">
        <v>0.827234042553191</v>
      </c>
      <c r="L32" s="14">
        <v>0.828638523798505</v>
      </c>
      <c r="M32" s="14">
        <v>0.827234042553191</v>
      </c>
      <c r="N32" s="14">
        <v>0.82594593821444495</v>
      </c>
      <c r="O32" s="14">
        <v>0.5</v>
      </c>
      <c r="P32" s="15">
        <v>7</v>
      </c>
      <c r="Q32" s="15">
        <v>99999999</v>
      </c>
      <c r="R32" s="16">
        <v>784</v>
      </c>
    </row>
    <row r="33" spans="1:18" x14ac:dyDescent="0.3">
      <c r="A33" s="13">
        <v>60</v>
      </c>
      <c r="B33" s="14" t="s">
        <v>28</v>
      </c>
      <c r="C33" s="14" t="s">
        <v>23</v>
      </c>
      <c r="D33" s="14" t="s">
        <v>26</v>
      </c>
      <c r="E33" s="14">
        <v>122.675540599972</v>
      </c>
      <c r="F33" s="15">
        <v>112800</v>
      </c>
      <c r="G33" s="15">
        <v>18800</v>
      </c>
      <c r="H33" s="14">
        <v>300.50940430001299</v>
      </c>
      <c r="I33" s="15">
        <v>13447</v>
      </c>
      <c r="J33" s="15">
        <v>5353</v>
      </c>
      <c r="K33" s="14">
        <v>0.71526595744680799</v>
      </c>
      <c r="L33" s="14">
        <v>0.71602547406549599</v>
      </c>
      <c r="M33" s="14">
        <v>0.71526595744680799</v>
      </c>
      <c r="N33" s="14">
        <v>0.70958243783176</v>
      </c>
      <c r="O33" s="14">
        <v>0.228580506497157</v>
      </c>
      <c r="P33" s="15">
        <v>7</v>
      </c>
      <c r="Q33" s="15">
        <v>99999999</v>
      </c>
      <c r="R33" s="16">
        <v>43</v>
      </c>
    </row>
    <row r="34" spans="1:18" x14ac:dyDescent="0.3">
      <c r="A34" s="13">
        <v>52</v>
      </c>
      <c r="B34" s="14" t="s">
        <v>28</v>
      </c>
      <c r="C34" s="14" t="s">
        <v>23</v>
      </c>
      <c r="D34" s="14" t="s">
        <v>25</v>
      </c>
      <c r="E34" s="14">
        <v>172.999745999986</v>
      </c>
      <c r="F34" s="15">
        <v>112800</v>
      </c>
      <c r="G34" s="15">
        <v>18800</v>
      </c>
      <c r="H34" s="14">
        <v>343.14055429998501</v>
      </c>
      <c r="I34" s="15">
        <v>15247</v>
      </c>
      <c r="J34" s="15">
        <v>3553</v>
      </c>
      <c r="K34" s="14">
        <v>0.81101063829787201</v>
      </c>
      <c r="L34" s="14">
        <v>0.81089774269875203</v>
      </c>
      <c r="M34" s="14">
        <v>0.81101063829787201</v>
      </c>
      <c r="N34" s="14">
        <v>0.80920625816404701</v>
      </c>
      <c r="O34" s="14">
        <v>0.5</v>
      </c>
      <c r="P34" s="15">
        <v>7</v>
      </c>
      <c r="Q34" s="15">
        <v>99999999</v>
      </c>
      <c r="R34" s="16">
        <v>46</v>
      </c>
    </row>
    <row r="35" spans="1:18" x14ac:dyDescent="0.3">
      <c r="A35" s="13">
        <v>48</v>
      </c>
      <c r="B35" s="14" t="s">
        <v>28</v>
      </c>
      <c r="C35" s="14" t="s">
        <v>23</v>
      </c>
      <c r="D35" s="14" t="s">
        <v>24</v>
      </c>
      <c r="E35" s="14">
        <v>120.351275899971</v>
      </c>
      <c r="F35" s="15">
        <v>112800</v>
      </c>
      <c r="G35" s="15">
        <v>18800</v>
      </c>
      <c r="H35" s="14">
        <v>261.15205350000099</v>
      </c>
      <c r="I35" s="15">
        <v>15995</v>
      </c>
      <c r="J35" s="15">
        <v>2805</v>
      </c>
      <c r="K35" s="14">
        <v>0.85079787234042503</v>
      </c>
      <c r="L35" s="14">
        <v>0.852872353330553</v>
      </c>
      <c r="M35" s="14">
        <v>0.85079787234042503</v>
      </c>
      <c r="N35" s="14">
        <v>0.84970629071111403</v>
      </c>
      <c r="O35" s="14">
        <v>0.5</v>
      </c>
      <c r="P35" s="15">
        <v>7</v>
      </c>
      <c r="Q35" s="15">
        <v>99999999</v>
      </c>
      <c r="R35" s="16">
        <v>43</v>
      </c>
    </row>
    <row r="36" spans="1:18" x14ac:dyDescent="0.3">
      <c r="A36" s="13">
        <v>56</v>
      </c>
      <c r="B36" s="14" t="s">
        <v>28</v>
      </c>
      <c r="C36" s="14" t="s">
        <v>23</v>
      </c>
      <c r="D36" s="14" t="s">
        <v>39</v>
      </c>
      <c r="E36" s="14">
        <v>94.521858400024897</v>
      </c>
      <c r="F36" s="15">
        <v>112800</v>
      </c>
      <c r="G36" s="15">
        <v>18800</v>
      </c>
      <c r="H36" s="14">
        <v>462.757025599945</v>
      </c>
      <c r="I36" s="15">
        <v>13232</v>
      </c>
      <c r="J36" s="15">
        <v>5568</v>
      </c>
      <c r="K36" s="14">
        <v>0.70382978723404199</v>
      </c>
      <c r="L36" s="14">
        <v>0.72720948012300701</v>
      </c>
      <c r="M36" s="14">
        <v>0.70382978723404199</v>
      </c>
      <c r="N36" s="14">
        <v>0.69916027013471604</v>
      </c>
      <c r="O36" s="14">
        <v>0.5</v>
      </c>
      <c r="P36" s="15">
        <v>7</v>
      </c>
      <c r="Q36" s="15">
        <v>99999999</v>
      </c>
      <c r="R36" s="16">
        <v>43</v>
      </c>
    </row>
    <row r="37" spans="1:18" x14ac:dyDescent="0.3">
      <c r="A37" s="13">
        <v>42</v>
      </c>
      <c r="B37" s="14" t="s">
        <v>28</v>
      </c>
      <c r="C37" s="14" t="s">
        <v>21</v>
      </c>
      <c r="D37" s="14" t="s">
        <v>20</v>
      </c>
      <c r="E37" s="14">
        <v>180.71997249999501</v>
      </c>
      <c r="F37" s="15">
        <v>112800</v>
      </c>
      <c r="G37" s="15">
        <v>18800</v>
      </c>
      <c r="H37" s="14">
        <v>200.24890359997499</v>
      </c>
      <c r="I37" s="15">
        <v>14545</v>
      </c>
      <c r="J37" s="15">
        <v>4255</v>
      </c>
      <c r="K37" s="14">
        <v>0.77367021276595704</v>
      </c>
      <c r="L37" s="14">
        <v>0.77403407356752296</v>
      </c>
      <c r="M37" s="14">
        <v>0.77367021276595704</v>
      </c>
      <c r="N37" s="14">
        <v>0.77251550575418404</v>
      </c>
      <c r="O37" s="14">
        <v>0.5</v>
      </c>
      <c r="P37" s="15">
        <v>7</v>
      </c>
      <c r="Q37" s="15">
        <v>99999999</v>
      </c>
      <c r="R37" s="16">
        <v>784</v>
      </c>
    </row>
    <row r="38" spans="1:18" x14ac:dyDescent="0.3">
      <c r="A38" s="13">
        <v>58</v>
      </c>
      <c r="B38" s="14" t="s">
        <v>28</v>
      </c>
      <c r="C38" s="14" t="s">
        <v>21</v>
      </c>
      <c r="D38" s="14" t="s">
        <v>26</v>
      </c>
      <c r="E38" s="14">
        <v>23.034415699949001</v>
      </c>
      <c r="F38" s="15">
        <v>112800</v>
      </c>
      <c r="G38" s="15">
        <v>18800</v>
      </c>
      <c r="H38" s="14">
        <v>40.332960999978198</v>
      </c>
      <c r="I38" s="15">
        <v>14108</v>
      </c>
      <c r="J38" s="15">
        <v>4692</v>
      </c>
      <c r="K38" s="14">
        <v>0.75042553191489303</v>
      </c>
      <c r="L38" s="14">
        <v>0.74770566729135601</v>
      </c>
      <c r="M38" s="14">
        <v>0.75042553191489303</v>
      </c>
      <c r="N38" s="14">
        <v>0.74619298188320005</v>
      </c>
      <c r="O38" s="14">
        <v>0.228580506497157</v>
      </c>
      <c r="P38" s="15">
        <v>7</v>
      </c>
      <c r="Q38" s="15">
        <v>99999999</v>
      </c>
      <c r="R38" s="16">
        <v>43</v>
      </c>
    </row>
    <row r="39" spans="1:18" x14ac:dyDescent="0.3">
      <c r="A39" s="13">
        <v>50</v>
      </c>
      <c r="B39" s="14" t="s">
        <v>28</v>
      </c>
      <c r="C39" s="14" t="s">
        <v>21</v>
      </c>
      <c r="D39" s="14" t="s">
        <v>25</v>
      </c>
      <c r="E39" s="14">
        <v>41.856723599950698</v>
      </c>
      <c r="F39" s="15">
        <v>112800</v>
      </c>
      <c r="G39" s="15">
        <v>18800</v>
      </c>
      <c r="H39" s="14">
        <v>65.283332199964207</v>
      </c>
      <c r="I39" s="15">
        <v>13885</v>
      </c>
      <c r="J39" s="15">
        <v>4915</v>
      </c>
      <c r="K39" s="14">
        <v>0.73856382978723401</v>
      </c>
      <c r="L39" s="14">
        <v>0.73641544521274305</v>
      </c>
      <c r="M39" s="14">
        <v>0.73856382978723401</v>
      </c>
      <c r="N39" s="14">
        <v>0.73645564863788604</v>
      </c>
      <c r="O39" s="14">
        <v>0.5</v>
      </c>
      <c r="P39" s="15">
        <v>7</v>
      </c>
      <c r="Q39" s="15">
        <v>99999999</v>
      </c>
      <c r="R39" s="16">
        <v>46</v>
      </c>
    </row>
    <row r="40" spans="1:18" x14ac:dyDescent="0.3">
      <c r="A40" s="13">
        <v>46</v>
      </c>
      <c r="B40" s="14" t="s">
        <v>28</v>
      </c>
      <c r="C40" s="14" t="s">
        <v>21</v>
      </c>
      <c r="D40" s="14" t="s">
        <v>24</v>
      </c>
      <c r="E40" s="14">
        <v>37.913837799977003</v>
      </c>
      <c r="F40" s="15">
        <v>112800</v>
      </c>
      <c r="G40" s="15">
        <v>18800</v>
      </c>
      <c r="H40" s="14">
        <v>50.868789000029203</v>
      </c>
      <c r="I40" s="15">
        <v>14338</v>
      </c>
      <c r="J40" s="15">
        <v>4462</v>
      </c>
      <c r="K40" s="14">
        <v>0.76265957446808497</v>
      </c>
      <c r="L40" s="14">
        <v>0.76159280732283297</v>
      </c>
      <c r="M40" s="14">
        <v>0.76265957446808497</v>
      </c>
      <c r="N40" s="14">
        <v>0.76145281323687897</v>
      </c>
      <c r="O40" s="14">
        <v>0.5</v>
      </c>
      <c r="P40" s="15">
        <v>7</v>
      </c>
      <c r="Q40" s="15">
        <v>99999999</v>
      </c>
      <c r="R40" s="16">
        <v>43</v>
      </c>
    </row>
    <row r="41" spans="1:18" x14ac:dyDescent="0.3">
      <c r="A41" s="13">
        <v>54</v>
      </c>
      <c r="B41" s="14" t="s">
        <v>28</v>
      </c>
      <c r="C41" s="14" t="s">
        <v>21</v>
      </c>
      <c r="D41" s="14" t="s">
        <v>39</v>
      </c>
      <c r="E41" s="14">
        <v>32.996152000035998</v>
      </c>
      <c r="F41" s="15">
        <v>112800</v>
      </c>
      <c r="G41" s="15">
        <v>18800</v>
      </c>
      <c r="H41" s="14">
        <v>255.69021700002401</v>
      </c>
      <c r="I41" s="15">
        <v>13901</v>
      </c>
      <c r="J41" s="15">
        <v>4899</v>
      </c>
      <c r="K41" s="14">
        <v>0.73941489361702095</v>
      </c>
      <c r="L41" s="14">
        <v>0.75274438554989698</v>
      </c>
      <c r="M41" s="14">
        <v>0.73941489361702095</v>
      </c>
      <c r="N41" s="14">
        <v>0.73995044233294804</v>
      </c>
      <c r="O41" s="14">
        <v>0.5</v>
      </c>
      <c r="P41" s="15">
        <v>7</v>
      </c>
      <c r="Q41" s="15">
        <v>99999999</v>
      </c>
      <c r="R41" s="16">
        <v>43</v>
      </c>
    </row>
    <row r="42" spans="1:18" x14ac:dyDescent="0.3">
      <c r="A42" s="9">
        <v>61</v>
      </c>
      <c r="B42" s="10" t="s">
        <v>29</v>
      </c>
      <c r="C42" s="10" t="s">
        <v>19</v>
      </c>
      <c r="D42" s="10" t="s">
        <v>20</v>
      </c>
      <c r="E42" s="10">
        <v>0.140235300001222</v>
      </c>
      <c r="F42" s="11">
        <v>240000</v>
      </c>
      <c r="G42" s="11">
        <v>40000</v>
      </c>
      <c r="H42" s="10">
        <v>116.42978710000099</v>
      </c>
      <c r="I42" s="11">
        <v>38929</v>
      </c>
      <c r="J42" s="11">
        <v>1071</v>
      </c>
      <c r="K42" s="10">
        <v>0.97322500000000001</v>
      </c>
      <c r="L42" s="10">
        <v>0.97384097114699597</v>
      </c>
      <c r="M42" s="10">
        <v>0.97322500000000001</v>
      </c>
      <c r="N42" s="10">
        <v>0.97323802773119505</v>
      </c>
      <c r="O42" s="10">
        <v>0.5</v>
      </c>
      <c r="P42" s="11">
        <v>7</v>
      </c>
      <c r="Q42" s="11">
        <v>99999999</v>
      </c>
      <c r="R42" s="12">
        <v>784</v>
      </c>
    </row>
    <row r="43" spans="1:18" x14ac:dyDescent="0.3">
      <c r="A43" s="9">
        <v>77</v>
      </c>
      <c r="B43" s="10" t="s">
        <v>29</v>
      </c>
      <c r="C43" s="10" t="s">
        <v>19</v>
      </c>
      <c r="D43" s="10" t="s">
        <v>26</v>
      </c>
      <c r="E43" s="10">
        <v>2.6842500024940801E-2</v>
      </c>
      <c r="F43" s="11">
        <v>240000</v>
      </c>
      <c r="G43" s="11">
        <v>40000</v>
      </c>
      <c r="H43" s="10">
        <v>49.169333100027799</v>
      </c>
      <c r="I43" s="11">
        <v>36818</v>
      </c>
      <c r="J43" s="11">
        <v>3182</v>
      </c>
      <c r="K43" s="10">
        <v>0.92044999999999999</v>
      </c>
      <c r="L43" s="10">
        <v>0.92054062549177496</v>
      </c>
      <c r="M43" s="10">
        <v>0.92044999999999999</v>
      </c>
      <c r="N43" s="10">
        <v>0.91993678796835299</v>
      </c>
      <c r="O43" s="10">
        <v>0.228580506497157</v>
      </c>
      <c r="P43" s="11">
        <v>7</v>
      </c>
      <c r="Q43" s="11">
        <v>99999999</v>
      </c>
      <c r="R43" s="12">
        <v>43</v>
      </c>
    </row>
    <row r="44" spans="1:18" x14ac:dyDescent="0.3">
      <c r="A44" s="9">
        <v>69</v>
      </c>
      <c r="B44" s="10" t="s">
        <v>29</v>
      </c>
      <c r="C44" s="10" t="s">
        <v>19</v>
      </c>
      <c r="D44" s="10" t="s">
        <v>25</v>
      </c>
      <c r="E44" s="10">
        <v>0.42852140002651101</v>
      </c>
      <c r="F44" s="11">
        <v>240000</v>
      </c>
      <c r="G44" s="11">
        <v>40000</v>
      </c>
      <c r="H44" s="10">
        <v>55.602294699987397</v>
      </c>
      <c r="I44" s="11">
        <v>37558</v>
      </c>
      <c r="J44" s="11">
        <v>2442</v>
      </c>
      <c r="K44" s="10">
        <v>0.93894999999999995</v>
      </c>
      <c r="L44" s="10">
        <v>0.93866770572147895</v>
      </c>
      <c r="M44" s="10">
        <v>0.93894999999999995</v>
      </c>
      <c r="N44" s="10">
        <v>0.93870875516631802</v>
      </c>
      <c r="O44" s="10">
        <v>0.5</v>
      </c>
      <c r="P44" s="11">
        <v>7</v>
      </c>
      <c r="Q44" s="11">
        <v>99999999</v>
      </c>
      <c r="R44" s="12">
        <v>9</v>
      </c>
    </row>
    <row r="45" spans="1:18" x14ac:dyDescent="0.3">
      <c r="A45" s="9">
        <v>65</v>
      </c>
      <c r="B45" s="10" t="s">
        <v>29</v>
      </c>
      <c r="C45" s="10" t="s">
        <v>19</v>
      </c>
      <c r="D45" s="10" t="s">
        <v>24</v>
      </c>
      <c r="E45" s="10">
        <v>2.1102799975778901E-2</v>
      </c>
      <c r="F45" s="11">
        <v>240000</v>
      </c>
      <c r="G45" s="11">
        <v>40000</v>
      </c>
      <c r="H45" s="10">
        <v>40.409890799957701</v>
      </c>
      <c r="I45" s="11">
        <v>39468</v>
      </c>
      <c r="J45" s="11">
        <v>532</v>
      </c>
      <c r="K45" s="10">
        <v>0.98670000000000002</v>
      </c>
      <c r="L45" s="10">
        <v>0.98671832736252196</v>
      </c>
      <c r="M45" s="10">
        <v>0.98669999999999902</v>
      </c>
      <c r="N45" s="10">
        <v>0.986689734132289</v>
      </c>
      <c r="O45" s="10">
        <v>0.5</v>
      </c>
      <c r="P45" s="11">
        <v>7</v>
      </c>
      <c r="Q45" s="11">
        <v>99999999</v>
      </c>
      <c r="R45" s="12">
        <v>43</v>
      </c>
    </row>
    <row r="46" spans="1:18" x14ac:dyDescent="0.3">
      <c r="A46" s="9">
        <v>73</v>
      </c>
      <c r="B46" s="10" t="s">
        <v>29</v>
      </c>
      <c r="C46" s="10" t="s">
        <v>19</v>
      </c>
      <c r="D46" s="10" t="s">
        <v>39</v>
      </c>
      <c r="E46" s="10">
        <v>1.66696000378578E-2</v>
      </c>
      <c r="F46" s="11">
        <v>240000</v>
      </c>
      <c r="G46" s="11">
        <v>40000</v>
      </c>
      <c r="H46" s="10">
        <v>561.42628620000301</v>
      </c>
      <c r="I46" s="11">
        <v>38741</v>
      </c>
      <c r="J46" s="11">
        <v>1259</v>
      </c>
      <c r="K46" s="10">
        <v>0.96852499999999997</v>
      </c>
      <c r="L46" s="10">
        <v>0.96891149239388097</v>
      </c>
      <c r="M46" s="10">
        <v>0.96852499999999997</v>
      </c>
      <c r="N46" s="10">
        <v>0.96849239720609404</v>
      </c>
      <c r="O46" s="10">
        <v>0.5</v>
      </c>
      <c r="P46" s="11">
        <v>7</v>
      </c>
      <c r="Q46" s="11">
        <v>99999999</v>
      </c>
      <c r="R46" s="12">
        <v>43</v>
      </c>
    </row>
    <row r="47" spans="1:18" x14ac:dyDescent="0.3">
      <c r="A47" s="9">
        <v>63</v>
      </c>
      <c r="B47" s="10" t="s">
        <v>29</v>
      </c>
      <c r="C47" s="10" t="s">
        <v>22</v>
      </c>
      <c r="D47" s="10" t="s">
        <v>20</v>
      </c>
      <c r="E47" s="10">
        <v>773.10873560002005</v>
      </c>
      <c r="F47" s="11">
        <v>240000</v>
      </c>
      <c r="G47" s="11">
        <v>40000</v>
      </c>
      <c r="H47" s="10">
        <v>852.33350099995698</v>
      </c>
      <c r="I47" s="11">
        <v>39530</v>
      </c>
      <c r="J47" s="11">
        <v>470</v>
      </c>
      <c r="K47" s="10">
        <v>0.98824999999999996</v>
      </c>
      <c r="L47" s="10">
        <v>0.98826692574605701</v>
      </c>
      <c r="M47" s="10">
        <v>0.98824999999999996</v>
      </c>
      <c r="N47" s="10">
        <v>0.98825035985347798</v>
      </c>
      <c r="O47" s="10">
        <v>0.5</v>
      </c>
      <c r="P47" s="11">
        <v>7</v>
      </c>
      <c r="Q47" s="11">
        <v>99999999</v>
      </c>
      <c r="R47" s="12">
        <v>784</v>
      </c>
    </row>
    <row r="48" spans="1:18" x14ac:dyDescent="0.3">
      <c r="A48" s="9">
        <v>79</v>
      </c>
      <c r="B48" s="10" t="s">
        <v>29</v>
      </c>
      <c r="C48" s="10" t="s">
        <v>22</v>
      </c>
      <c r="D48" s="10" t="s">
        <v>26</v>
      </c>
      <c r="E48" s="10">
        <v>4293.5198711000203</v>
      </c>
      <c r="F48" s="11">
        <v>240000</v>
      </c>
      <c r="G48" s="11">
        <v>40000</v>
      </c>
      <c r="H48" s="10">
        <v>4335.5335196999904</v>
      </c>
      <c r="I48" s="11">
        <v>38405</v>
      </c>
      <c r="J48" s="11">
        <v>1595</v>
      </c>
      <c r="K48" s="10">
        <v>0.96012500000000001</v>
      </c>
      <c r="L48" s="10">
        <v>0.96019102529955003</v>
      </c>
      <c r="M48" s="10">
        <v>0.96012500000000001</v>
      </c>
      <c r="N48" s="10">
        <v>0.96014051326932004</v>
      </c>
      <c r="O48" s="10">
        <v>0.228580506497157</v>
      </c>
      <c r="P48" s="11">
        <v>7</v>
      </c>
      <c r="Q48" s="11">
        <v>99999999</v>
      </c>
      <c r="R48" s="12">
        <v>43</v>
      </c>
    </row>
    <row r="49" spans="1:18" x14ac:dyDescent="0.3">
      <c r="A49" s="9">
        <v>71</v>
      </c>
      <c r="B49" s="10" t="s">
        <v>29</v>
      </c>
      <c r="C49" s="10" t="s">
        <v>22</v>
      </c>
      <c r="D49" s="10" t="s">
        <v>25</v>
      </c>
      <c r="E49" s="10">
        <v>2338.9705403000098</v>
      </c>
      <c r="F49" s="11">
        <v>240000</v>
      </c>
      <c r="G49" s="11">
        <v>40000</v>
      </c>
      <c r="H49" s="10">
        <v>2392.2310812000001</v>
      </c>
      <c r="I49" s="11">
        <v>37280</v>
      </c>
      <c r="J49" s="11">
        <v>2720</v>
      </c>
      <c r="K49" s="10">
        <v>0.93200000000000005</v>
      </c>
      <c r="L49" s="10">
        <v>0.93205382950175597</v>
      </c>
      <c r="M49" s="10">
        <v>0.93200000000000005</v>
      </c>
      <c r="N49" s="10">
        <v>0.93196075492992703</v>
      </c>
      <c r="O49" s="10">
        <v>0.5</v>
      </c>
      <c r="P49" s="11">
        <v>7</v>
      </c>
      <c r="Q49" s="11">
        <v>99999999</v>
      </c>
      <c r="R49" s="12">
        <v>9</v>
      </c>
    </row>
    <row r="50" spans="1:18" x14ac:dyDescent="0.3">
      <c r="A50" s="9">
        <v>67</v>
      </c>
      <c r="B50" s="10" t="s">
        <v>29</v>
      </c>
      <c r="C50" s="10" t="s">
        <v>22</v>
      </c>
      <c r="D50" s="10" t="s">
        <v>24</v>
      </c>
      <c r="E50" s="10">
        <v>265.55307399999498</v>
      </c>
      <c r="F50" s="11">
        <v>240000</v>
      </c>
      <c r="G50" s="11">
        <v>40000</v>
      </c>
      <c r="H50" s="10">
        <v>297.84628149995098</v>
      </c>
      <c r="I50" s="11">
        <v>39611</v>
      </c>
      <c r="J50" s="11">
        <v>389</v>
      </c>
      <c r="K50" s="10">
        <v>0.99027500000000002</v>
      </c>
      <c r="L50" s="10">
        <v>0.99028255550578104</v>
      </c>
      <c r="M50" s="10">
        <v>0.99027500000000002</v>
      </c>
      <c r="N50" s="10">
        <v>0.99027569775970203</v>
      </c>
      <c r="O50" s="10">
        <v>0.5</v>
      </c>
      <c r="P50" s="11">
        <v>7</v>
      </c>
      <c r="Q50" s="11">
        <v>99999999</v>
      </c>
      <c r="R50" s="12">
        <v>43</v>
      </c>
    </row>
    <row r="51" spans="1:18" x14ac:dyDescent="0.3">
      <c r="A51" s="9">
        <v>75</v>
      </c>
      <c r="B51" s="10" t="s">
        <v>29</v>
      </c>
      <c r="C51" s="10" t="s">
        <v>22</v>
      </c>
      <c r="D51" s="10" t="s">
        <v>39</v>
      </c>
      <c r="E51" s="10">
        <v>894.66088689997503</v>
      </c>
      <c r="F51" s="11">
        <v>240000</v>
      </c>
      <c r="G51" s="11">
        <v>40000</v>
      </c>
      <c r="H51" s="10">
        <v>1458.59541529999</v>
      </c>
      <c r="I51" s="11">
        <v>38739</v>
      </c>
      <c r="J51" s="11">
        <v>1261</v>
      </c>
      <c r="K51" s="10">
        <v>0.96847499999999997</v>
      </c>
      <c r="L51" s="10">
        <v>0.96887814185783905</v>
      </c>
      <c r="M51" s="10">
        <v>0.96847499999999997</v>
      </c>
      <c r="N51" s="10">
        <v>0.96844427869737104</v>
      </c>
      <c r="O51" s="10">
        <v>0.5</v>
      </c>
      <c r="P51" s="11">
        <v>7</v>
      </c>
      <c r="Q51" s="11">
        <v>99999999</v>
      </c>
      <c r="R51" s="12">
        <v>43</v>
      </c>
    </row>
    <row r="52" spans="1:18" x14ac:dyDescent="0.3">
      <c r="A52" s="13">
        <v>64</v>
      </c>
      <c r="B52" s="14" t="s">
        <v>29</v>
      </c>
      <c r="C52" s="14" t="s">
        <v>23</v>
      </c>
      <c r="D52" s="14" t="s">
        <v>20</v>
      </c>
      <c r="E52" s="14">
        <v>2063.6613982999602</v>
      </c>
      <c r="F52" s="15">
        <v>240000</v>
      </c>
      <c r="G52" s="15">
        <v>40000</v>
      </c>
      <c r="H52" s="14">
        <v>2742.81172559998</v>
      </c>
      <c r="I52" s="15">
        <v>39489</v>
      </c>
      <c r="J52" s="15">
        <v>511</v>
      </c>
      <c r="K52" s="14">
        <v>0.98722500000000002</v>
      </c>
      <c r="L52" s="14">
        <v>0.98722309241624595</v>
      </c>
      <c r="M52" s="14">
        <v>0.98722499999999902</v>
      </c>
      <c r="N52" s="14">
        <v>0.98722247035145205</v>
      </c>
      <c r="O52" s="14">
        <v>0.5</v>
      </c>
      <c r="P52" s="15">
        <v>7</v>
      </c>
      <c r="Q52" s="15">
        <v>99999999</v>
      </c>
      <c r="R52" s="16">
        <v>784</v>
      </c>
    </row>
    <row r="53" spans="1:18" x14ac:dyDescent="0.3">
      <c r="A53" s="13">
        <v>80</v>
      </c>
      <c r="B53" s="14" t="s">
        <v>29</v>
      </c>
      <c r="C53" s="14" t="s">
        <v>23</v>
      </c>
      <c r="D53" s="14" t="s">
        <v>26</v>
      </c>
      <c r="E53" s="14">
        <v>730.89141490001896</v>
      </c>
      <c r="F53" s="15">
        <v>240000</v>
      </c>
      <c r="G53" s="15">
        <v>40000</v>
      </c>
      <c r="H53" s="14">
        <v>1064.6155324000199</v>
      </c>
      <c r="I53" s="15">
        <v>37474</v>
      </c>
      <c r="J53" s="15">
        <v>2526</v>
      </c>
      <c r="K53" s="14">
        <v>0.93684999999999996</v>
      </c>
      <c r="L53" s="14">
        <v>0.936765581683497</v>
      </c>
      <c r="M53" s="14">
        <v>0.93684999999999996</v>
      </c>
      <c r="N53" s="14">
        <v>0.93672804148868205</v>
      </c>
      <c r="O53" s="14">
        <v>0.228580506497157</v>
      </c>
      <c r="P53" s="15">
        <v>7</v>
      </c>
      <c r="Q53" s="15">
        <v>99999999</v>
      </c>
      <c r="R53" s="16">
        <v>43</v>
      </c>
    </row>
    <row r="54" spans="1:18" x14ac:dyDescent="0.3">
      <c r="A54" s="13">
        <v>72</v>
      </c>
      <c r="B54" s="14" t="s">
        <v>29</v>
      </c>
      <c r="C54" s="14" t="s">
        <v>23</v>
      </c>
      <c r="D54" s="14" t="s">
        <v>25</v>
      </c>
      <c r="E54" s="14">
        <v>170.414010100008</v>
      </c>
      <c r="F54" s="15">
        <v>240000</v>
      </c>
      <c r="G54" s="15">
        <v>40000</v>
      </c>
      <c r="H54" s="14">
        <v>307.27739290002501</v>
      </c>
      <c r="I54" s="15">
        <v>37662</v>
      </c>
      <c r="J54" s="15">
        <v>2338</v>
      </c>
      <c r="K54" s="14">
        <v>0.94155</v>
      </c>
      <c r="L54" s="14">
        <v>0.941421838728842</v>
      </c>
      <c r="M54" s="14">
        <v>0.94155</v>
      </c>
      <c r="N54" s="14">
        <v>0.941459555636459</v>
      </c>
      <c r="O54" s="14">
        <v>0.5</v>
      </c>
      <c r="P54" s="15">
        <v>7</v>
      </c>
      <c r="Q54" s="15">
        <v>99999999</v>
      </c>
      <c r="R54" s="16">
        <v>9</v>
      </c>
    </row>
    <row r="55" spans="1:18" x14ac:dyDescent="0.3">
      <c r="A55" s="13">
        <v>68</v>
      </c>
      <c r="B55" s="14" t="s">
        <v>29</v>
      </c>
      <c r="C55" s="14" t="s">
        <v>23</v>
      </c>
      <c r="D55" s="14" t="s">
        <v>24</v>
      </c>
      <c r="E55" s="14">
        <v>188.603314300009</v>
      </c>
      <c r="F55" s="15">
        <v>240000</v>
      </c>
      <c r="G55" s="15">
        <v>40000</v>
      </c>
      <c r="H55" s="14">
        <v>285.04806739999901</v>
      </c>
      <c r="I55" s="15">
        <v>39626</v>
      </c>
      <c r="J55" s="15">
        <v>374</v>
      </c>
      <c r="K55" s="14">
        <v>0.99065000000000003</v>
      </c>
      <c r="L55" s="14">
        <v>0.99064868726840205</v>
      </c>
      <c r="M55" s="14">
        <v>0.99065000000000003</v>
      </c>
      <c r="N55" s="14">
        <v>0.99064870590440701</v>
      </c>
      <c r="O55" s="14">
        <v>0.5</v>
      </c>
      <c r="P55" s="15">
        <v>7</v>
      </c>
      <c r="Q55" s="15">
        <v>99999999</v>
      </c>
      <c r="R55" s="16">
        <v>43</v>
      </c>
    </row>
    <row r="56" spans="1:18" x14ac:dyDescent="0.3">
      <c r="A56" s="13">
        <v>76</v>
      </c>
      <c r="B56" s="14" t="s">
        <v>29</v>
      </c>
      <c r="C56" s="14" t="s">
        <v>23</v>
      </c>
      <c r="D56" s="14" t="s">
        <v>39</v>
      </c>
      <c r="E56" s="14">
        <v>134.971220599953</v>
      </c>
      <c r="F56" s="15">
        <v>240000</v>
      </c>
      <c r="G56" s="15">
        <v>40000</v>
      </c>
      <c r="H56" s="14">
        <v>731.24355050001702</v>
      </c>
      <c r="I56" s="15">
        <v>38726</v>
      </c>
      <c r="J56" s="15">
        <v>1274</v>
      </c>
      <c r="K56" s="14">
        <v>0.96814999999999996</v>
      </c>
      <c r="L56" s="14">
        <v>0.96856661434926605</v>
      </c>
      <c r="M56" s="14">
        <v>0.96814999999999996</v>
      </c>
      <c r="N56" s="14">
        <v>0.96811769436498796</v>
      </c>
      <c r="O56" s="14">
        <v>0.5</v>
      </c>
      <c r="P56" s="15">
        <v>7</v>
      </c>
      <c r="Q56" s="15">
        <v>99999999</v>
      </c>
      <c r="R56" s="16">
        <v>43</v>
      </c>
    </row>
    <row r="57" spans="1:18" x14ac:dyDescent="0.3">
      <c r="A57" s="13">
        <v>62</v>
      </c>
      <c r="B57" s="14" t="s">
        <v>29</v>
      </c>
      <c r="C57" s="14" t="s">
        <v>21</v>
      </c>
      <c r="D57" s="14" t="s">
        <v>20</v>
      </c>
      <c r="E57" s="14">
        <v>83.759110599989</v>
      </c>
      <c r="F57" s="15">
        <v>240000</v>
      </c>
      <c r="G57" s="15">
        <v>40000</v>
      </c>
      <c r="H57" s="14">
        <v>146.02042670000799</v>
      </c>
      <c r="I57" s="15">
        <v>39017</v>
      </c>
      <c r="J57" s="15">
        <v>983</v>
      </c>
      <c r="K57" s="14">
        <v>0.97542499999999999</v>
      </c>
      <c r="L57" s="14">
        <v>0.975424474838401</v>
      </c>
      <c r="M57" s="14">
        <v>0.97542499999999999</v>
      </c>
      <c r="N57" s="14">
        <v>0.97542044167350495</v>
      </c>
      <c r="O57" s="14">
        <v>0.5</v>
      </c>
      <c r="P57" s="15">
        <v>7</v>
      </c>
      <c r="Q57" s="15">
        <v>99999999</v>
      </c>
      <c r="R57" s="16">
        <v>784</v>
      </c>
    </row>
    <row r="58" spans="1:18" x14ac:dyDescent="0.3">
      <c r="A58" s="13">
        <v>78</v>
      </c>
      <c r="B58" s="14" t="s">
        <v>29</v>
      </c>
      <c r="C58" s="14" t="s">
        <v>21</v>
      </c>
      <c r="D58" s="14" t="s">
        <v>26</v>
      </c>
      <c r="E58" s="14">
        <v>10.295919800002499</v>
      </c>
      <c r="F58" s="15">
        <v>240000</v>
      </c>
      <c r="G58" s="15">
        <v>40000</v>
      </c>
      <c r="H58" s="14">
        <v>53.577535399992399</v>
      </c>
      <c r="I58" s="15">
        <v>37711</v>
      </c>
      <c r="J58" s="15">
        <v>2289</v>
      </c>
      <c r="K58" s="14">
        <v>0.94277500000000003</v>
      </c>
      <c r="L58" s="14">
        <v>0.94281652015561201</v>
      </c>
      <c r="M58" s="14">
        <v>0.94277499999999903</v>
      </c>
      <c r="N58" s="14">
        <v>0.94276868153437698</v>
      </c>
      <c r="O58" s="14">
        <v>0.228580506497157</v>
      </c>
      <c r="P58" s="15">
        <v>7</v>
      </c>
      <c r="Q58" s="15">
        <v>99999999</v>
      </c>
      <c r="R58" s="16">
        <v>43</v>
      </c>
    </row>
    <row r="59" spans="1:18" x14ac:dyDescent="0.3">
      <c r="A59" s="13">
        <v>70</v>
      </c>
      <c r="B59" s="14" t="s">
        <v>29</v>
      </c>
      <c r="C59" s="14" t="s">
        <v>21</v>
      </c>
      <c r="D59" s="14" t="s">
        <v>25</v>
      </c>
      <c r="E59" s="14">
        <v>7.63093899999512</v>
      </c>
      <c r="F59" s="15">
        <v>240000</v>
      </c>
      <c r="G59" s="15">
        <v>40000</v>
      </c>
      <c r="H59" s="14">
        <v>69.537232699978603</v>
      </c>
      <c r="I59" s="15">
        <v>37358</v>
      </c>
      <c r="J59" s="15">
        <v>2642</v>
      </c>
      <c r="K59" s="14">
        <v>0.93394999999999995</v>
      </c>
      <c r="L59" s="14">
        <v>0.93389134712431499</v>
      </c>
      <c r="M59" s="14">
        <v>0.93394999999999995</v>
      </c>
      <c r="N59" s="14">
        <v>0.93389865499035496</v>
      </c>
      <c r="O59" s="14">
        <v>0.5</v>
      </c>
      <c r="P59" s="15">
        <v>7</v>
      </c>
      <c r="Q59" s="15">
        <v>99999999</v>
      </c>
      <c r="R59" s="16">
        <v>9</v>
      </c>
    </row>
    <row r="60" spans="1:18" x14ac:dyDescent="0.3">
      <c r="A60" s="13">
        <v>66</v>
      </c>
      <c r="B60" s="14" t="s">
        <v>29</v>
      </c>
      <c r="C60" s="14" t="s">
        <v>21</v>
      </c>
      <c r="D60" s="14" t="s">
        <v>24</v>
      </c>
      <c r="E60" s="14">
        <v>15.4244960999931</v>
      </c>
      <c r="F60" s="15">
        <v>240000</v>
      </c>
      <c r="G60" s="15">
        <v>40000</v>
      </c>
      <c r="H60" s="14">
        <v>48.043533199990598</v>
      </c>
      <c r="I60" s="15">
        <v>38578</v>
      </c>
      <c r="J60" s="15">
        <v>1422</v>
      </c>
      <c r="K60" s="14">
        <v>0.96445000000000003</v>
      </c>
      <c r="L60" s="14">
        <v>0.96446735494852598</v>
      </c>
      <c r="M60" s="14">
        <v>0.96445000000000003</v>
      </c>
      <c r="N60" s="14">
        <v>0.96445241361715905</v>
      </c>
      <c r="O60" s="14">
        <v>0.5</v>
      </c>
      <c r="P60" s="15">
        <v>7</v>
      </c>
      <c r="Q60" s="15">
        <v>99999999</v>
      </c>
      <c r="R60" s="16">
        <v>43</v>
      </c>
    </row>
    <row r="61" spans="1:18" x14ac:dyDescent="0.3">
      <c r="A61" s="13">
        <v>74</v>
      </c>
      <c r="B61" s="14" t="s">
        <v>29</v>
      </c>
      <c r="C61" s="14" t="s">
        <v>21</v>
      </c>
      <c r="D61" s="14" t="s">
        <v>39</v>
      </c>
      <c r="E61" s="14">
        <v>12.6052639000117</v>
      </c>
      <c r="F61" s="15">
        <v>240000</v>
      </c>
      <c r="G61" s="15">
        <v>40000</v>
      </c>
      <c r="H61" s="14">
        <v>570.54827080003395</v>
      </c>
      <c r="I61" s="15">
        <v>38757</v>
      </c>
      <c r="J61" s="15">
        <v>1243</v>
      </c>
      <c r="K61" s="14">
        <v>0.96892500000000004</v>
      </c>
      <c r="L61" s="14">
        <v>0.96929734435090598</v>
      </c>
      <c r="M61" s="14">
        <v>0.96892499999999904</v>
      </c>
      <c r="N61" s="14">
        <v>0.96889392559786403</v>
      </c>
      <c r="O61" s="14">
        <v>0.5</v>
      </c>
      <c r="P61" s="15">
        <v>7</v>
      </c>
      <c r="Q61" s="15">
        <v>99999999</v>
      </c>
      <c r="R61" s="16">
        <v>43</v>
      </c>
    </row>
    <row r="62" spans="1:18" x14ac:dyDescent="0.3">
      <c r="A62" s="9">
        <v>21</v>
      </c>
      <c r="B62" s="10" t="s">
        <v>27</v>
      </c>
      <c r="C62" s="10" t="s">
        <v>19</v>
      </c>
      <c r="D62" s="10" t="s">
        <v>20</v>
      </c>
      <c r="E62" s="10">
        <v>3.3732699987012803E-2</v>
      </c>
      <c r="F62" s="11">
        <v>60000</v>
      </c>
      <c r="G62" s="11">
        <v>10000</v>
      </c>
      <c r="H62" s="10">
        <v>13.9593693999922</v>
      </c>
      <c r="I62" s="11">
        <v>8025</v>
      </c>
      <c r="J62" s="11">
        <v>1975</v>
      </c>
      <c r="K62" s="10">
        <v>0.80249999999999999</v>
      </c>
      <c r="L62" s="10">
        <v>0.80484614821447298</v>
      </c>
      <c r="M62" s="10">
        <v>0.80249999999999999</v>
      </c>
      <c r="N62" s="10">
        <v>0.80193739142626697</v>
      </c>
      <c r="O62" s="10">
        <v>0.5</v>
      </c>
      <c r="P62" s="11">
        <v>7</v>
      </c>
      <c r="Q62" s="11">
        <v>99999999</v>
      </c>
      <c r="R62" s="12">
        <v>784</v>
      </c>
    </row>
    <row r="63" spans="1:18" x14ac:dyDescent="0.3">
      <c r="A63" s="9">
        <v>37</v>
      </c>
      <c r="B63" s="10" t="s">
        <v>27</v>
      </c>
      <c r="C63" s="10" t="s">
        <v>19</v>
      </c>
      <c r="D63" s="10" t="s">
        <v>26</v>
      </c>
      <c r="E63" s="10">
        <v>3.2444999669678501E-3</v>
      </c>
      <c r="F63" s="11">
        <v>60000</v>
      </c>
      <c r="G63" s="11">
        <v>10000</v>
      </c>
      <c r="H63" s="10">
        <v>8.8201911000069195</v>
      </c>
      <c r="I63" s="11">
        <v>7984</v>
      </c>
      <c r="J63" s="11">
        <v>2016</v>
      </c>
      <c r="K63" s="10">
        <v>0.7984</v>
      </c>
      <c r="L63" s="10">
        <v>0.794558679815078</v>
      </c>
      <c r="M63" s="10">
        <v>0.798399999999999</v>
      </c>
      <c r="N63" s="10">
        <v>0.79473870540818004</v>
      </c>
      <c r="O63" s="10">
        <v>0.228580506497157</v>
      </c>
      <c r="P63" s="11">
        <v>7</v>
      </c>
      <c r="Q63" s="11">
        <v>99999999</v>
      </c>
      <c r="R63" s="12">
        <v>43</v>
      </c>
    </row>
    <row r="64" spans="1:18" x14ac:dyDescent="0.3">
      <c r="A64" s="9">
        <v>29</v>
      </c>
      <c r="B64" s="10" t="s">
        <v>27</v>
      </c>
      <c r="C64" s="10" t="s">
        <v>19</v>
      </c>
      <c r="D64" s="10" t="s">
        <v>25</v>
      </c>
      <c r="E64" s="10">
        <v>6.0937599977478302E-2</v>
      </c>
      <c r="F64" s="11">
        <v>60000</v>
      </c>
      <c r="G64" s="11">
        <v>10000</v>
      </c>
      <c r="H64" s="10">
        <v>9.3250058999983594</v>
      </c>
      <c r="I64" s="11">
        <v>8326</v>
      </c>
      <c r="J64" s="11">
        <v>1674</v>
      </c>
      <c r="K64" s="10">
        <v>0.83260000000000001</v>
      </c>
      <c r="L64" s="10">
        <v>0.83069327380160696</v>
      </c>
      <c r="M64" s="10">
        <v>0.83260000000000001</v>
      </c>
      <c r="N64" s="10">
        <v>0.83072052484376102</v>
      </c>
      <c r="O64" s="10">
        <v>0.5</v>
      </c>
      <c r="P64" s="11">
        <v>7</v>
      </c>
      <c r="Q64" s="11">
        <v>99999999</v>
      </c>
      <c r="R64" s="12">
        <v>9</v>
      </c>
    </row>
    <row r="65" spans="1:18" x14ac:dyDescent="0.3">
      <c r="A65" s="9">
        <v>25</v>
      </c>
      <c r="B65" s="10" t="s">
        <v>27</v>
      </c>
      <c r="C65" s="10" t="s">
        <v>19</v>
      </c>
      <c r="D65" s="10" t="s">
        <v>24</v>
      </c>
      <c r="E65" s="10">
        <v>3.6067999899387299E-3</v>
      </c>
      <c r="F65" s="11">
        <v>60000</v>
      </c>
      <c r="G65" s="11">
        <v>10000</v>
      </c>
      <c r="H65" s="10">
        <v>6.9217253999668102</v>
      </c>
      <c r="I65" s="11">
        <v>8579</v>
      </c>
      <c r="J65" s="11">
        <v>1421</v>
      </c>
      <c r="K65" s="10">
        <v>0.8579</v>
      </c>
      <c r="L65" s="10">
        <v>0.85796945378335399</v>
      </c>
      <c r="M65" s="10">
        <v>0.8579</v>
      </c>
      <c r="N65" s="10">
        <v>0.856642046934326</v>
      </c>
      <c r="O65" s="10">
        <v>0.5</v>
      </c>
      <c r="P65" s="11">
        <v>7</v>
      </c>
      <c r="Q65" s="11">
        <v>99999999</v>
      </c>
      <c r="R65" s="12">
        <v>43</v>
      </c>
    </row>
    <row r="66" spans="1:18" x14ac:dyDescent="0.3">
      <c r="A66" s="9">
        <v>33</v>
      </c>
      <c r="B66" s="10" t="s">
        <v>27</v>
      </c>
      <c r="C66" s="10" t="s">
        <v>19</v>
      </c>
      <c r="D66" s="10" t="s">
        <v>39</v>
      </c>
      <c r="E66" s="10">
        <v>3.53320001158863E-3</v>
      </c>
      <c r="F66" s="11">
        <v>60000</v>
      </c>
      <c r="G66" s="11">
        <v>10000</v>
      </c>
      <c r="H66" s="10">
        <v>100.45078120002201</v>
      </c>
      <c r="I66" s="11">
        <v>8063</v>
      </c>
      <c r="J66" s="11">
        <v>1937</v>
      </c>
      <c r="K66" s="10">
        <v>0.80630000000000002</v>
      </c>
      <c r="L66" s="10">
        <v>0.80671904316908405</v>
      </c>
      <c r="M66" s="10">
        <v>0.80629999999999902</v>
      </c>
      <c r="N66" s="10">
        <v>0.80489965991350299</v>
      </c>
      <c r="O66" s="10">
        <v>0.5</v>
      </c>
      <c r="P66" s="11">
        <v>7</v>
      </c>
      <c r="Q66" s="11">
        <v>99999999</v>
      </c>
      <c r="R66" s="12">
        <v>43</v>
      </c>
    </row>
    <row r="67" spans="1:18" x14ac:dyDescent="0.3">
      <c r="A67" s="9">
        <v>23</v>
      </c>
      <c r="B67" s="10" t="s">
        <v>27</v>
      </c>
      <c r="C67" s="10" t="s">
        <v>22</v>
      </c>
      <c r="D67" s="10" t="s">
        <v>20</v>
      </c>
      <c r="E67" s="10">
        <v>347.034783700015</v>
      </c>
      <c r="F67" s="11">
        <v>60000</v>
      </c>
      <c r="G67" s="11">
        <v>10000</v>
      </c>
      <c r="H67" s="10">
        <v>357.45511889999</v>
      </c>
      <c r="I67" s="11">
        <v>8476</v>
      </c>
      <c r="J67" s="11">
        <v>1524</v>
      </c>
      <c r="K67" s="10">
        <v>0.84760000000000002</v>
      </c>
      <c r="L67" s="10">
        <v>0.84750752381682504</v>
      </c>
      <c r="M67" s="10">
        <v>0.84759999999999902</v>
      </c>
      <c r="N67" s="10">
        <v>0.84684179972135998</v>
      </c>
      <c r="O67" s="10">
        <v>0.5</v>
      </c>
      <c r="P67" s="11">
        <v>7</v>
      </c>
      <c r="Q67" s="11">
        <v>99999999</v>
      </c>
      <c r="R67" s="12">
        <v>784</v>
      </c>
    </row>
    <row r="68" spans="1:18" x14ac:dyDescent="0.3">
      <c r="A68" s="9">
        <v>39</v>
      </c>
      <c r="B68" s="10" t="s">
        <v>27</v>
      </c>
      <c r="C68" s="10" t="s">
        <v>22</v>
      </c>
      <c r="D68" s="10" t="s">
        <v>26</v>
      </c>
      <c r="E68" s="10">
        <v>1436.99842819996</v>
      </c>
      <c r="F68" s="11">
        <v>60000</v>
      </c>
      <c r="G68" s="11">
        <v>10000</v>
      </c>
      <c r="H68" s="10">
        <v>1445.4833435999999</v>
      </c>
      <c r="I68" s="11">
        <v>8210</v>
      </c>
      <c r="J68" s="11">
        <v>1790</v>
      </c>
      <c r="K68" s="10">
        <v>0.82099999999999995</v>
      </c>
      <c r="L68" s="10">
        <v>0.81999354900408605</v>
      </c>
      <c r="M68" s="10">
        <v>0.82099999999999995</v>
      </c>
      <c r="N68" s="10">
        <v>0.81982816000064296</v>
      </c>
      <c r="O68" s="10">
        <v>0.228580506497157</v>
      </c>
      <c r="P68" s="11">
        <v>7</v>
      </c>
      <c r="Q68" s="11">
        <v>99999999</v>
      </c>
      <c r="R68" s="12">
        <v>43</v>
      </c>
    </row>
    <row r="69" spans="1:18" x14ac:dyDescent="0.3">
      <c r="A69" s="9">
        <v>31</v>
      </c>
      <c r="B69" s="10" t="s">
        <v>27</v>
      </c>
      <c r="C69" s="10" t="s">
        <v>22</v>
      </c>
      <c r="D69" s="10" t="s">
        <v>25</v>
      </c>
      <c r="E69" s="10">
        <v>469.12840419996002</v>
      </c>
      <c r="F69" s="11">
        <v>60000</v>
      </c>
      <c r="G69" s="11">
        <v>10000</v>
      </c>
      <c r="H69" s="10">
        <v>478.03855699999201</v>
      </c>
      <c r="I69" s="11">
        <v>8087</v>
      </c>
      <c r="J69" s="11">
        <v>1913</v>
      </c>
      <c r="K69" s="10">
        <v>0.80869999999999997</v>
      </c>
      <c r="L69" s="10">
        <v>0.80765280563223396</v>
      </c>
      <c r="M69" s="10">
        <v>0.80869999999999997</v>
      </c>
      <c r="N69" s="10">
        <v>0.80786929015812903</v>
      </c>
      <c r="O69" s="10">
        <v>0.5</v>
      </c>
      <c r="P69" s="11">
        <v>7</v>
      </c>
      <c r="Q69" s="11">
        <v>99999999</v>
      </c>
      <c r="R69" s="12">
        <v>9</v>
      </c>
    </row>
    <row r="70" spans="1:18" x14ac:dyDescent="0.3">
      <c r="A70" s="9">
        <v>27</v>
      </c>
      <c r="B70" s="10" t="s">
        <v>27</v>
      </c>
      <c r="C70" s="10" t="s">
        <v>22</v>
      </c>
      <c r="D70" s="10" t="s">
        <v>24</v>
      </c>
      <c r="E70" s="10">
        <v>118.690415399963</v>
      </c>
      <c r="F70" s="11">
        <v>60000</v>
      </c>
      <c r="G70" s="11">
        <v>10000</v>
      </c>
      <c r="H70" s="10">
        <v>125.121274400036</v>
      </c>
      <c r="I70" s="11">
        <v>8840</v>
      </c>
      <c r="J70" s="11">
        <v>1160</v>
      </c>
      <c r="K70" s="10">
        <v>0.88400000000000001</v>
      </c>
      <c r="L70" s="10">
        <v>0.88364569456294895</v>
      </c>
      <c r="M70" s="10">
        <v>0.88400000000000001</v>
      </c>
      <c r="N70" s="10">
        <v>0.88331913464777601</v>
      </c>
      <c r="O70" s="10">
        <v>0.5</v>
      </c>
      <c r="P70" s="11">
        <v>7</v>
      </c>
      <c r="Q70" s="11">
        <v>99999999</v>
      </c>
      <c r="R70" s="12">
        <v>43</v>
      </c>
    </row>
    <row r="71" spans="1:18" x14ac:dyDescent="0.3">
      <c r="A71" s="9">
        <v>35</v>
      </c>
      <c r="B71" s="10" t="s">
        <v>27</v>
      </c>
      <c r="C71" s="10" t="s">
        <v>22</v>
      </c>
      <c r="D71" s="10" t="s">
        <v>39</v>
      </c>
      <c r="E71" s="10">
        <v>266.17479620000802</v>
      </c>
      <c r="F71" s="11">
        <v>60000</v>
      </c>
      <c r="G71" s="11">
        <v>10000</v>
      </c>
      <c r="H71" s="10">
        <v>366.71869880001702</v>
      </c>
      <c r="I71" s="11">
        <v>7990</v>
      </c>
      <c r="J71" s="11">
        <v>2010</v>
      </c>
      <c r="K71" s="10">
        <v>0.79900000000000004</v>
      </c>
      <c r="L71" s="10">
        <v>0.80612054562753499</v>
      </c>
      <c r="M71" s="10">
        <v>0.79900000000000004</v>
      </c>
      <c r="N71" s="10">
        <v>0.80049100469297796</v>
      </c>
      <c r="O71" s="10">
        <v>0.5</v>
      </c>
      <c r="P71" s="11">
        <v>7</v>
      </c>
      <c r="Q71" s="11">
        <v>99999999</v>
      </c>
      <c r="R71" s="12">
        <v>43</v>
      </c>
    </row>
    <row r="72" spans="1:18" x14ac:dyDescent="0.3">
      <c r="A72" s="13">
        <v>24</v>
      </c>
      <c r="B72" s="14" t="s">
        <v>27</v>
      </c>
      <c r="C72" s="14" t="s">
        <v>23</v>
      </c>
      <c r="D72" s="14" t="s">
        <v>20</v>
      </c>
      <c r="E72" s="14">
        <v>278.16717800003198</v>
      </c>
      <c r="F72" s="15">
        <v>60000</v>
      </c>
      <c r="G72" s="15">
        <v>10000</v>
      </c>
      <c r="H72" s="14">
        <v>400.74681649997302</v>
      </c>
      <c r="I72" s="15">
        <v>8546</v>
      </c>
      <c r="J72" s="15">
        <v>1454</v>
      </c>
      <c r="K72" s="14">
        <v>0.85460000000000003</v>
      </c>
      <c r="L72" s="14">
        <v>0.85434520164525896</v>
      </c>
      <c r="M72" s="14">
        <v>0.85460000000000003</v>
      </c>
      <c r="N72" s="14">
        <v>0.85393343502653996</v>
      </c>
      <c r="O72" s="14">
        <v>0.5</v>
      </c>
      <c r="P72" s="15">
        <v>7</v>
      </c>
      <c r="Q72" s="15">
        <v>99999999</v>
      </c>
      <c r="R72" s="16">
        <v>784</v>
      </c>
    </row>
    <row r="73" spans="1:18" x14ac:dyDescent="0.3">
      <c r="A73" s="13">
        <v>40</v>
      </c>
      <c r="B73" s="14" t="s">
        <v>27</v>
      </c>
      <c r="C73" s="14" t="s">
        <v>23</v>
      </c>
      <c r="D73" s="14" t="s">
        <v>26</v>
      </c>
      <c r="E73" s="14">
        <v>56.3848776000086</v>
      </c>
      <c r="F73" s="15">
        <v>60000</v>
      </c>
      <c r="G73" s="15">
        <v>10000</v>
      </c>
      <c r="H73" s="14">
        <v>87.111420099972705</v>
      </c>
      <c r="I73" s="15">
        <v>7781</v>
      </c>
      <c r="J73" s="15">
        <v>2219</v>
      </c>
      <c r="K73" s="14">
        <v>0.77810000000000001</v>
      </c>
      <c r="L73" s="14">
        <v>0.774351501183833</v>
      </c>
      <c r="M73" s="14">
        <v>0.77810000000000001</v>
      </c>
      <c r="N73" s="14">
        <v>0.77419861965876702</v>
      </c>
      <c r="O73" s="14">
        <v>0.228580506497157</v>
      </c>
      <c r="P73" s="15">
        <v>7</v>
      </c>
      <c r="Q73" s="15">
        <v>99999999</v>
      </c>
      <c r="R73" s="16">
        <v>43</v>
      </c>
    </row>
    <row r="74" spans="1:18" x14ac:dyDescent="0.3">
      <c r="A74" s="13">
        <v>32</v>
      </c>
      <c r="B74" s="14" t="s">
        <v>27</v>
      </c>
      <c r="C74" s="14" t="s">
        <v>23</v>
      </c>
      <c r="D74" s="14" t="s">
        <v>25</v>
      </c>
      <c r="E74" s="14">
        <v>13.1893948999932</v>
      </c>
      <c r="F74" s="15">
        <v>60000</v>
      </c>
      <c r="G74" s="15">
        <v>10000</v>
      </c>
      <c r="H74" s="14">
        <v>34.100372000015298</v>
      </c>
      <c r="I74" s="15">
        <v>8403</v>
      </c>
      <c r="J74" s="15">
        <v>1597</v>
      </c>
      <c r="K74" s="14">
        <v>0.84030000000000005</v>
      </c>
      <c r="L74" s="14">
        <v>0.83872993182453004</v>
      </c>
      <c r="M74" s="14">
        <v>0.84030000000000005</v>
      </c>
      <c r="N74" s="14">
        <v>0.83851434877264597</v>
      </c>
      <c r="O74" s="14">
        <v>0.5</v>
      </c>
      <c r="P74" s="15">
        <v>7</v>
      </c>
      <c r="Q74" s="15">
        <v>99999999</v>
      </c>
      <c r="R74" s="16">
        <v>9</v>
      </c>
    </row>
    <row r="75" spans="1:18" x14ac:dyDescent="0.3">
      <c r="A75" s="13">
        <v>28</v>
      </c>
      <c r="B75" s="14" t="s">
        <v>27</v>
      </c>
      <c r="C75" s="14" t="s">
        <v>23</v>
      </c>
      <c r="D75" s="14" t="s">
        <v>24</v>
      </c>
      <c r="E75" s="14">
        <v>30.151312400004802</v>
      </c>
      <c r="F75" s="15">
        <v>60000</v>
      </c>
      <c r="G75" s="15">
        <v>10000</v>
      </c>
      <c r="H75" s="14">
        <v>51.922280200000301</v>
      </c>
      <c r="I75" s="15">
        <v>8806</v>
      </c>
      <c r="J75" s="15">
        <v>1194</v>
      </c>
      <c r="K75" s="14">
        <v>0.88060000000000005</v>
      </c>
      <c r="L75" s="14">
        <v>0.87973257809273897</v>
      </c>
      <c r="M75" s="14">
        <v>0.88060000000000005</v>
      </c>
      <c r="N75" s="14">
        <v>0.87981156754106804</v>
      </c>
      <c r="O75" s="14">
        <v>0.5</v>
      </c>
      <c r="P75" s="15">
        <v>7</v>
      </c>
      <c r="Q75" s="15">
        <v>99999999</v>
      </c>
      <c r="R75" s="16">
        <v>43</v>
      </c>
    </row>
    <row r="76" spans="1:18" x14ac:dyDescent="0.3">
      <c r="A76" s="13">
        <v>36</v>
      </c>
      <c r="B76" s="14" t="s">
        <v>27</v>
      </c>
      <c r="C76" s="14" t="s">
        <v>23</v>
      </c>
      <c r="D76" s="14" t="s">
        <v>39</v>
      </c>
      <c r="E76" s="14">
        <v>43.483591899974201</v>
      </c>
      <c r="F76" s="15">
        <v>60000</v>
      </c>
      <c r="G76" s="15">
        <v>10000</v>
      </c>
      <c r="H76" s="14">
        <v>164.45818980003199</v>
      </c>
      <c r="I76" s="15">
        <v>7729</v>
      </c>
      <c r="J76" s="15">
        <v>2271</v>
      </c>
      <c r="K76" s="14">
        <v>0.77290000000000003</v>
      </c>
      <c r="L76" s="14">
        <v>0.77233844364697302</v>
      </c>
      <c r="M76" s="14">
        <v>0.77289999999999903</v>
      </c>
      <c r="N76" s="14">
        <v>0.76873576760221796</v>
      </c>
      <c r="O76" s="14">
        <v>0.5</v>
      </c>
      <c r="P76" s="15">
        <v>7</v>
      </c>
      <c r="Q76" s="15">
        <v>99999999</v>
      </c>
      <c r="R76" s="16">
        <v>43</v>
      </c>
    </row>
    <row r="77" spans="1:18" x14ac:dyDescent="0.3">
      <c r="A77" s="13">
        <v>22</v>
      </c>
      <c r="B77" s="14" t="s">
        <v>27</v>
      </c>
      <c r="C77" s="14" t="s">
        <v>21</v>
      </c>
      <c r="D77" s="14" t="s">
        <v>20</v>
      </c>
      <c r="E77" s="14">
        <v>20.156868199992399</v>
      </c>
      <c r="F77" s="15">
        <v>60000</v>
      </c>
      <c r="G77" s="15">
        <v>10000</v>
      </c>
      <c r="H77" s="14">
        <v>30.2204516999772</v>
      </c>
      <c r="I77" s="15">
        <v>8388</v>
      </c>
      <c r="J77" s="15">
        <v>1612</v>
      </c>
      <c r="K77" s="14">
        <v>0.83879999999999999</v>
      </c>
      <c r="L77" s="14">
        <v>0.83831891159608896</v>
      </c>
      <c r="M77" s="14">
        <v>0.83879999999999999</v>
      </c>
      <c r="N77" s="14">
        <v>0.83800702642458902</v>
      </c>
      <c r="O77" s="14">
        <v>0.5</v>
      </c>
      <c r="P77" s="15">
        <v>7</v>
      </c>
      <c r="Q77" s="15">
        <v>99999999</v>
      </c>
      <c r="R77" s="16">
        <v>784</v>
      </c>
    </row>
    <row r="78" spans="1:18" x14ac:dyDescent="0.3">
      <c r="A78" s="13">
        <v>38</v>
      </c>
      <c r="B78" s="14" t="s">
        <v>27</v>
      </c>
      <c r="C78" s="14" t="s">
        <v>21</v>
      </c>
      <c r="D78" s="14" t="s">
        <v>26</v>
      </c>
      <c r="E78" s="14">
        <v>2.7843726999708398</v>
      </c>
      <c r="F78" s="15">
        <v>60000</v>
      </c>
      <c r="G78" s="15">
        <v>10000</v>
      </c>
      <c r="H78" s="14">
        <v>10.9627509000129</v>
      </c>
      <c r="I78" s="15">
        <v>8260</v>
      </c>
      <c r="J78" s="15">
        <v>1740</v>
      </c>
      <c r="K78" s="14">
        <v>0.82599999999999996</v>
      </c>
      <c r="L78" s="14">
        <v>0.82428556426722699</v>
      </c>
      <c r="M78" s="14">
        <v>0.82599999999999996</v>
      </c>
      <c r="N78" s="14">
        <v>0.82470053866597604</v>
      </c>
      <c r="O78" s="14">
        <v>0.228580506497157</v>
      </c>
      <c r="P78" s="15">
        <v>7</v>
      </c>
      <c r="Q78" s="15">
        <v>99999999</v>
      </c>
      <c r="R78" s="16">
        <v>43</v>
      </c>
    </row>
    <row r="79" spans="1:18" x14ac:dyDescent="0.3">
      <c r="A79" s="13">
        <v>30</v>
      </c>
      <c r="B79" s="14" t="s">
        <v>27</v>
      </c>
      <c r="C79" s="14" t="s">
        <v>21</v>
      </c>
      <c r="D79" s="14" t="s">
        <v>25</v>
      </c>
      <c r="E79" s="14">
        <v>1.9711058000102599</v>
      </c>
      <c r="F79" s="15">
        <v>60000</v>
      </c>
      <c r="G79" s="15">
        <v>10000</v>
      </c>
      <c r="H79" s="14">
        <v>11.038620700011901</v>
      </c>
      <c r="I79" s="15">
        <v>8395</v>
      </c>
      <c r="J79" s="15">
        <v>1605</v>
      </c>
      <c r="K79" s="14">
        <v>0.83950000000000002</v>
      </c>
      <c r="L79" s="14">
        <v>0.837223188017158</v>
      </c>
      <c r="M79" s="14">
        <v>0.83949999999999902</v>
      </c>
      <c r="N79" s="14">
        <v>0.83786922709971701</v>
      </c>
      <c r="O79" s="14">
        <v>0.5</v>
      </c>
      <c r="P79" s="15">
        <v>7</v>
      </c>
      <c r="Q79" s="15">
        <v>99999999</v>
      </c>
      <c r="R79" s="16">
        <v>9</v>
      </c>
    </row>
    <row r="80" spans="1:18" x14ac:dyDescent="0.3">
      <c r="A80" s="13">
        <v>26</v>
      </c>
      <c r="B80" s="14" t="s">
        <v>27</v>
      </c>
      <c r="C80" s="14" t="s">
        <v>21</v>
      </c>
      <c r="D80" s="14" t="s">
        <v>24</v>
      </c>
      <c r="E80" s="14">
        <v>4.9962516000377901</v>
      </c>
      <c r="F80" s="15">
        <v>60000</v>
      </c>
      <c r="G80" s="15">
        <v>10000</v>
      </c>
      <c r="H80" s="14">
        <v>11.7345183999859</v>
      </c>
      <c r="I80" s="15">
        <v>8689</v>
      </c>
      <c r="J80" s="15">
        <v>1311</v>
      </c>
      <c r="K80" s="14">
        <v>0.86890000000000001</v>
      </c>
      <c r="L80" s="14">
        <v>0.86827782920651597</v>
      </c>
      <c r="M80" s="14">
        <v>0.86890000000000001</v>
      </c>
      <c r="N80" s="14">
        <v>0.86826111894782299</v>
      </c>
      <c r="O80" s="14">
        <v>0.5</v>
      </c>
      <c r="P80" s="15">
        <v>7</v>
      </c>
      <c r="Q80" s="15">
        <v>99999999</v>
      </c>
      <c r="R80" s="16">
        <v>43</v>
      </c>
    </row>
    <row r="81" spans="1:18" x14ac:dyDescent="0.3">
      <c r="A81" s="13">
        <v>34</v>
      </c>
      <c r="B81" s="14" t="s">
        <v>27</v>
      </c>
      <c r="C81" s="14" t="s">
        <v>21</v>
      </c>
      <c r="D81" s="14" t="s">
        <v>39</v>
      </c>
      <c r="E81" s="14">
        <v>4.1996439999784299</v>
      </c>
      <c r="F81" s="15">
        <v>60000</v>
      </c>
      <c r="G81" s="15">
        <v>10000</v>
      </c>
      <c r="H81" s="14">
        <v>104.071881500014</v>
      </c>
      <c r="I81" s="15">
        <v>8284</v>
      </c>
      <c r="J81" s="15">
        <v>1716</v>
      </c>
      <c r="K81" s="14">
        <v>0.82840000000000003</v>
      </c>
      <c r="L81" s="14">
        <v>0.82962808398832699</v>
      </c>
      <c r="M81" s="14">
        <v>0.82839999999999903</v>
      </c>
      <c r="N81" s="14">
        <v>0.82810468176270402</v>
      </c>
      <c r="O81" s="14">
        <v>0.5</v>
      </c>
      <c r="P81" s="15">
        <v>7</v>
      </c>
      <c r="Q81" s="15">
        <v>99999999</v>
      </c>
      <c r="R81" s="16">
        <v>43</v>
      </c>
    </row>
    <row r="82" spans="1:18" x14ac:dyDescent="0.3">
      <c r="A82" s="9">
        <v>1</v>
      </c>
      <c r="B82" s="10" t="s">
        <v>18</v>
      </c>
      <c r="C82" s="10" t="s">
        <v>19</v>
      </c>
      <c r="D82" s="10" t="s">
        <v>20</v>
      </c>
      <c r="E82" s="10">
        <v>3.8984599988907499E-2</v>
      </c>
      <c r="F82" s="11">
        <v>60000</v>
      </c>
      <c r="G82" s="11">
        <v>10000</v>
      </c>
      <c r="H82" s="10">
        <v>15.589478400012</v>
      </c>
      <c r="I82" s="11">
        <v>9576</v>
      </c>
      <c r="J82" s="11">
        <v>424</v>
      </c>
      <c r="K82" s="10">
        <v>0.95760000000000001</v>
      </c>
      <c r="L82" s="10">
        <v>0.95902151019789905</v>
      </c>
      <c r="M82" s="10">
        <v>0.95718326268430298</v>
      </c>
      <c r="N82" s="10">
        <v>0.95763457425368903</v>
      </c>
      <c r="O82" s="10">
        <v>0.5</v>
      </c>
      <c r="P82" s="11">
        <v>7</v>
      </c>
      <c r="Q82" s="11">
        <v>99999999</v>
      </c>
      <c r="R82" s="12">
        <v>784</v>
      </c>
    </row>
    <row r="83" spans="1:18" x14ac:dyDescent="0.3">
      <c r="A83" s="9">
        <v>17</v>
      </c>
      <c r="B83" s="10" t="s">
        <v>18</v>
      </c>
      <c r="C83" s="10" t="s">
        <v>19</v>
      </c>
      <c r="D83" s="10" t="s">
        <v>26</v>
      </c>
      <c r="E83" s="10">
        <v>3.7886000354774201E-3</v>
      </c>
      <c r="F83" s="11">
        <v>60000</v>
      </c>
      <c r="G83" s="11">
        <v>10000</v>
      </c>
      <c r="H83" s="10">
        <v>14.7417014000238</v>
      </c>
      <c r="I83" s="11">
        <v>9582</v>
      </c>
      <c r="J83" s="11">
        <v>418</v>
      </c>
      <c r="K83" s="10">
        <v>0.95820000000000005</v>
      </c>
      <c r="L83" s="10">
        <v>0.95807505508302504</v>
      </c>
      <c r="M83" s="10">
        <v>0.95757906077130905</v>
      </c>
      <c r="N83" s="10">
        <v>0.957680563614139</v>
      </c>
      <c r="O83" s="10">
        <v>0.228580506497157</v>
      </c>
      <c r="P83" s="11">
        <v>7</v>
      </c>
      <c r="Q83" s="11">
        <v>99999999</v>
      </c>
      <c r="R83" s="12">
        <v>43</v>
      </c>
    </row>
    <row r="84" spans="1:18" x14ac:dyDescent="0.3">
      <c r="A84" s="9">
        <v>9</v>
      </c>
      <c r="B84" s="10" t="s">
        <v>18</v>
      </c>
      <c r="C84" s="10" t="s">
        <v>19</v>
      </c>
      <c r="D84" s="10" t="s">
        <v>25</v>
      </c>
      <c r="E84" s="10">
        <v>6.2950099993031403E-2</v>
      </c>
      <c r="F84" s="11">
        <v>60000</v>
      </c>
      <c r="G84" s="11">
        <v>10000</v>
      </c>
      <c r="H84" s="10">
        <v>9.1869253999902796</v>
      </c>
      <c r="I84" s="11">
        <v>9145</v>
      </c>
      <c r="J84" s="11">
        <v>855</v>
      </c>
      <c r="K84" s="10">
        <v>0.91449999999999998</v>
      </c>
      <c r="L84" s="10">
        <v>0.91343772598449402</v>
      </c>
      <c r="M84" s="10">
        <v>0.91323609218546598</v>
      </c>
      <c r="N84" s="10">
        <v>0.91313119911122698</v>
      </c>
      <c r="O84" s="10">
        <v>0.5</v>
      </c>
      <c r="P84" s="11">
        <v>7</v>
      </c>
      <c r="Q84" s="11">
        <v>99999999</v>
      </c>
      <c r="R84" s="12">
        <v>9</v>
      </c>
    </row>
    <row r="85" spans="1:18" x14ac:dyDescent="0.3">
      <c r="A85" s="9">
        <v>5</v>
      </c>
      <c r="B85" s="10" t="s">
        <v>18</v>
      </c>
      <c r="C85" s="10" t="s">
        <v>19</v>
      </c>
      <c r="D85" s="10" t="s">
        <v>24</v>
      </c>
      <c r="E85" s="10">
        <v>3.0262999935075602E-3</v>
      </c>
      <c r="F85" s="11">
        <v>60000</v>
      </c>
      <c r="G85" s="11">
        <v>10000</v>
      </c>
      <c r="H85" s="10">
        <v>6.9698158999672097</v>
      </c>
      <c r="I85" s="11">
        <v>9744</v>
      </c>
      <c r="J85" s="11">
        <v>256</v>
      </c>
      <c r="K85" s="10">
        <v>0.97440000000000004</v>
      </c>
      <c r="L85" s="10">
        <v>0.97440344116827504</v>
      </c>
      <c r="M85" s="10">
        <v>0.97421810507425599</v>
      </c>
      <c r="N85" s="10">
        <v>0.97426542599285804</v>
      </c>
      <c r="O85" s="10">
        <v>0.5</v>
      </c>
      <c r="P85" s="11">
        <v>7</v>
      </c>
      <c r="Q85" s="11">
        <v>99999999</v>
      </c>
      <c r="R85" s="12">
        <v>43</v>
      </c>
    </row>
    <row r="86" spans="1:18" x14ac:dyDescent="0.3">
      <c r="A86" s="9">
        <v>13</v>
      </c>
      <c r="B86" s="10" t="s">
        <v>18</v>
      </c>
      <c r="C86" s="10" t="s">
        <v>19</v>
      </c>
      <c r="D86" s="10" t="s">
        <v>39</v>
      </c>
      <c r="E86" s="10">
        <v>3.5132999764755299E-3</v>
      </c>
      <c r="F86" s="11">
        <v>60000</v>
      </c>
      <c r="G86" s="11">
        <v>10000</v>
      </c>
      <c r="H86" s="10">
        <v>124.997395600017</v>
      </c>
      <c r="I86" s="11">
        <v>9549</v>
      </c>
      <c r="J86" s="11">
        <v>451</v>
      </c>
      <c r="K86" s="10">
        <v>0.95489999999999997</v>
      </c>
      <c r="L86" s="10">
        <v>0.95590146030964995</v>
      </c>
      <c r="M86" s="10">
        <v>0.95453995929879898</v>
      </c>
      <c r="N86" s="10">
        <v>0.95487514653498495</v>
      </c>
      <c r="O86" s="10">
        <v>0.5</v>
      </c>
      <c r="P86" s="11">
        <v>7</v>
      </c>
      <c r="Q86" s="11">
        <v>99999999</v>
      </c>
      <c r="R86" s="12">
        <v>43</v>
      </c>
    </row>
    <row r="87" spans="1:18" x14ac:dyDescent="0.3">
      <c r="A87" s="9">
        <v>3</v>
      </c>
      <c r="B87" s="10" t="s">
        <v>18</v>
      </c>
      <c r="C87" s="10" t="s">
        <v>22</v>
      </c>
      <c r="D87" s="10" t="s">
        <v>20</v>
      </c>
      <c r="E87" s="10">
        <v>104.94850920000999</v>
      </c>
      <c r="F87" s="11">
        <v>60000</v>
      </c>
      <c r="G87" s="11">
        <v>10000</v>
      </c>
      <c r="H87" s="10">
        <v>114.86207989998999</v>
      </c>
      <c r="I87" s="11">
        <v>9740</v>
      </c>
      <c r="J87" s="11">
        <v>260</v>
      </c>
      <c r="K87" s="10">
        <v>0.97399999999999998</v>
      </c>
      <c r="L87" s="10">
        <v>0.97423032154200995</v>
      </c>
      <c r="M87" s="10">
        <v>0.97359587417482196</v>
      </c>
      <c r="N87" s="10">
        <v>0.97384892590588101</v>
      </c>
      <c r="O87" s="10">
        <v>0.5</v>
      </c>
      <c r="P87" s="11">
        <v>7</v>
      </c>
      <c r="Q87" s="11">
        <v>99999999</v>
      </c>
      <c r="R87" s="12">
        <v>784</v>
      </c>
    </row>
    <row r="88" spans="1:18" x14ac:dyDescent="0.3">
      <c r="A88" s="9">
        <v>19</v>
      </c>
      <c r="B88" s="10" t="s">
        <v>18</v>
      </c>
      <c r="C88" s="10" t="s">
        <v>22</v>
      </c>
      <c r="D88" s="10" t="s">
        <v>26</v>
      </c>
      <c r="E88" s="10">
        <v>578.53084869997099</v>
      </c>
      <c r="F88" s="11">
        <v>60000</v>
      </c>
      <c r="G88" s="11">
        <v>10000</v>
      </c>
      <c r="H88" s="10">
        <v>587.58271879999597</v>
      </c>
      <c r="I88" s="11">
        <v>9778</v>
      </c>
      <c r="J88" s="11">
        <v>222</v>
      </c>
      <c r="K88" s="10">
        <v>0.9778</v>
      </c>
      <c r="L88" s="10">
        <v>0.977572998640032</v>
      </c>
      <c r="M88" s="10">
        <v>0.97761699122704104</v>
      </c>
      <c r="N88" s="10">
        <v>0.97756501797080797</v>
      </c>
      <c r="O88" s="10">
        <v>0.228580506497157</v>
      </c>
      <c r="P88" s="11">
        <v>7</v>
      </c>
      <c r="Q88" s="11">
        <v>99999999</v>
      </c>
      <c r="R88" s="12">
        <v>43</v>
      </c>
    </row>
    <row r="89" spans="1:18" x14ac:dyDescent="0.3">
      <c r="A89" s="9">
        <v>11</v>
      </c>
      <c r="B89" s="10" t="s">
        <v>18</v>
      </c>
      <c r="C89" s="10" t="s">
        <v>22</v>
      </c>
      <c r="D89" s="10" t="s">
        <v>25</v>
      </c>
      <c r="E89" s="10">
        <v>272.62374760000898</v>
      </c>
      <c r="F89" s="11">
        <v>60000</v>
      </c>
      <c r="G89" s="11">
        <v>10000</v>
      </c>
      <c r="H89" s="10">
        <v>281.556360799993</v>
      </c>
      <c r="I89" s="11">
        <v>9066</v>
      </c>
      <c r="J89" s="11">
        <v>934</v>
      </c>
      <c r="K89" s="10">
        <v>0.90659999999999996</v>
      </c>
      <c r="L89" s="10">
        <v>0.90576269173659096</v>
      </c>
      <c r="M89" s="10">
        <v>0.90599485808914904</v>
      </c>
      <c r="N89" s="10">
        <v>0.905772716198598</v>
      </c>
      <c r="O89" s="10">
        <v>0.5</v>
      </c>
      <c r="P89" s="11">
        <v>7</v>
      </c>
      <c r="Q89" s="11">
        <v>99999999</v>
      </c>
      <c r="R89" s="12">
        <v>9</v>
      </c>
    </row>
    <row r="90" spans="1:18" x14ac:dyDescent="0.3">
      <c r="A90" s="9">
        <v>7</v>
      </c>
      <c r="B90" s="10" t="s">
        <v>18</v>
      </c>
      <c r="C90" s="10" t="s">
        <v>22</v>
      </c>
      <c r="D90" s="10" t="s">
        <v>24</v>
      </c>
      <c r="E90" s="10">
        <v>32.607147800037602</v>
      </c>
      <c r="F90" s="11">
        <v>60000</v>
      </c>
      <c r="G90" s="11">
        <v>10000</v>
      </c>
      <c r="H90" s="10">
        <v>39.0382606000057</v>
      </c>
      <c r="I90" s="11">
        <v>9844</v>
      </c>
      <c r="J90" s="11">
        <v>156</v>
      </c>
      <c r="K90" s="10">
        <v>0.98440000000000005</v>
      </c>
      <c r="L90" s="10">
        <v>0.98426613862948698</v>
      </c>
      <c r="M90" s="10">
        <v>0.98428383624528704</v>
      </c>
      <c r="N90" s="10">
        <v>0.98426942419289198</v>
      </c>
      <c r="O90" s="10">
        <v>0.5</v>
      </c>
      <c r="P90" s="11">
        <v>7</v>
      </c>
      <c r="Q90" s="11">
        <v>99999999</v>
      </c>
      <c r="R90" s="12">
        <v>43</v>
      </c>
    </row>
    <row r="91" spans="1:18" x14ac:dyDescent="0.3">
      <c r="A91" s="9">
        <v>15</v>
      </c>
      <c r="B91" s="10" t="s">
        <v>18</v>
      </c>
      <c r="C91" s="10" t="s">
        <v>22</v>
      </c>
      <c r="D91" s="10" t="s">
        <v>39</v>
      </c>
      <c r="E91" s="10">
        <v>147.73738689999999</v>
      </c>
      <c r="F91" s="11">
        <v>60000</v>
      </c>
      <c r="G91" s="11">
        <v>10000</v>
      </c>
      <c r="H91" s="10">
        <v>243.94106789998401</v>
      </c>
      <c r="I91" s="11">
        <v>9541</v>
      </c>
      <c r="J91" s="11">
        <v>459</v>
      </c>
      <c r="K91" s="10">
        <v>0.95409999999999995</v>
      </c>
      <c r="L91" s="10">
        <v>0.95508638877669405</v>
      </c>
      <c r="M91" s="10">
        <v>0.95373251419279703</v>
      </c>
      <c r="N91" s="10">
        <v>0.95404679544433302</v>
      </c>
      <c r="O91" s="10">
        <v>0.5</v>
      </c>
      <c r="P91" s="11">
        <v>7</v>
      </c>
      <c r="Q91" s="11">
        <v>99999999</v>
      </c>
      <c r="R91" s="12">
        <v>43</v>
      </c>
    </row>
    <row r="92" spans="1:18" x14ac:dyDescent="0.3">
      <c r="A92" s="13">
        <v>4</v>
      </c>
      <c r="B92" s="14" t="s">
        <v>18</v>
      </c>
      <c r="C92" s="14" t="s">
        <v>23</v>
      </c>
      <c r="D92" s="14" t="s">
        <v>20</v>
      </c>
      <c r="E92" s="14">
        <v>166.54364739998701</v>
      </c>
      <c r="F92" s="15">
        <v>60000</v>
      </c>
      <c r="G92" s="15">
        <v>10000</v>
      </c>
      <c r="H92" s="14">
        <v>240.32835939998</v>
      </c>
      <c r="I92" s="15">
        <v>9769</v>
      </c>
      <c r="J92" s="15">
        <v>231</v>
      </c>
      <c r="K92" s="14">
        <v>0.97689999999999999</v>
      </c>
      <c r="L92" s="14">
        <v>0.97690066532352604</v>
      </c>
      <c r="M92" s="14">
        <v>0.97672943844189797</v>
      </c>
      <c r="N92" s="14">
        <v>0.97679711853192996</v>
      </c>
      <c r="O92" s="14">
        <v>0.5</v>
      </c>
      <c r="P92" s="15">
        <v>7</v>
      </c>
      <c r="Q92" s="15">
        <v>99999999</v>
      </c>
      <c r="R92" s="16">
        <v>784</v>
      </c>
    </row>
    <row r="93" spans="1:18" x14ac:dyDescent="0.3">
      <c r="A93" s="13">
        <v>20</v>
      </c>
      <c r="B93" s="14" t="s">
        <v>18</v>
      </c>
      <c r="C93" s="14" t="s">
        <v>23</v>
      </c>
      <c r="D93" s="14" t="s">
        <v>26</v>
      </c>
      <c r="E93" s="14">
        <v>14.4054408000083</v>
      </c>
      <c r="F93" s="15">
        <v>60000</v>
      </c>
      <c r="G93" s="15">
        <v>10000</v>
      </c>
      <c r="H93" s="14">
        <v>30.313474200025599</v>
      </c>
      <c r="I93" s="15">
        <v>9716</v>
      </c>
      <c r="J93" s="15">
        <v>284</v>
      </c>
      <c r="K93" s="14">
        <v>0.97160000000000002</v>
      </c>
      <c r="L93" s="14">
        <v>0.97151332627187004</v>
      </c>
      <c r="M93" s="14">
        <v>0.97134577964822699</v>
      </c>
      <c r="N93" s="14">
        <v>0.97135136670798405</v>
      </c>
      <c r="O93" s="14">
        <v>0.228580506497157</v>
      </c>
      <c r="P93" s="15">
        <v>7</v>
      </c>
      <c r="Q93" s="15">
        <v>99999999</v>
      </c>
      <c r="R93" s="16">
        <v>43</v>
      </c>
    </row>
    <row r="94" spans="1:18" x14ac:dyDescent="0.3">
      <c r="A94" s="13">
        <v>12</v>
      </c>
      <c r="B94" s="14" t="s">
        <v>18</v>
      </c>
      <c r="C94" s="14" t="s">
        <v>23</v>
      </c>
      <c r="D94" s="14" t="s">
        <v>25</v>
      </c>
      <c r="E94" s="14">
        <v>9.1844458999694307</v>
      </c>
      <c r="F94" s="15">
        <v>60000</v>
      </c>
      <c r="G94" s="15">
        <v>10000</v>
      </c>
      <c r="H94" s="14">
        <v>26.451593599980601</v>
      </c>
      <c r="I94" s="15">
        <v>9215</v>
      </c>
      <c r="J94" s="15">
        <v>785</v>
      </c>
      <c r="K94" s="14">
        <v>0.92149999999999999</v>
      </c>
      <c r="L94" s="14">
        <v>0.92059384230693497</v>
      </c>
      <c r="M94" s="14">
        <v>0.92049934335000205</v>
      </c>
      <c r="N94" s="14">
        <v>0.92046066663606596</v>
      </c>
      <c r="O94" s="14">
        <v>0.5</v>
      </c>
      <c r="P94" s="15">
        <v>7</v>
      </c>
      <c r="Q94" s="15">
        <v>99999999</v>
      </c>
      <c r="R94" s="16">
        <v>9</v>
      </c>
    </row>
    <row r="95" spans="1:18" x14ac:dyDescent="0.3">
      <c r="A95" s="13">
        <v>8</v>
      </c>
      <c r="B95" s="14" t="s">
        <v>18</v>
      </c>
      <c r="C95" s="14" t="s">
        <v>23</v>
      </c>
      <c r="D95" s="14" t="s">
        <v>24</v>
      </c>
      <c r="E95" s="14">
        <v>18.493768799991798</v>
      </c>
      <c r="F95" s="15">
        <v>60000</v>
      </c>
      <c r="G95" s="15">
        <v>10000</v>
      </c>
      <c r="H95" s="14">
        <v>32.466883499990203</v>
      </c>
      <c r="I95" s="15">
        <v>9828</v>
      </c>
      <c r="J95" s="15">
        <v>172</v>
      </c>
      <c r="K95" s="14">
        <v>0.98280000000000001</v>
      </c>
      <c r="L95" s="14">
        <v>0.98282875900734701</v>
      </c>
      <c r="M95" s="14">
        <v>0.98268949686034102</v>
      </c>
      <c r="N95" s="14">
        <v>0.98275365829470596</v>
      </c>
      <c r="O95" s="14">
        <v>0.5</v>
      </c>
      <c r="P95" s="15">
        <v>7</v>
      </c>
      <c r="Q95" s="15">
        <v>99999999</v>
      </c>
      <c r="R95" s="16">
        <v>43</v>
      </c>
    </row>
    <row r="96" spans="1:18" x14ac:dyDescent="0.3">
      <c r="A96" s="13">
        <v>16</v>
      </c>
      <c r="B96" s="14" t="s">
        <v>18</v>
      </c>
      <c r="C96" s="14" t="s">
        <v>23</v>
      </c>
      <c r="D96" s="14" t="s">
        <v>39</v>
      </c>
      <c r="E96" s="14">
        <v>9.85470640001585</v>
      </c>
      <c r="F96" s="15">
        <v>60000</v>
      </c>
      <c r="G96" s="15">
        <v>10000</v>
      </c>
      <c r="H96" s="14">
        <v>111.242288000008</v>
      </c>
      <c r="I96" s="15">
        <v>9541</v>
      </c>
      <c r="J96" s="15">
        <v>459</v>
      </c>
      <c r="K96" s="14">
        <v>0.95409999999999995</v>
      </c>
      <c r="L96" s="14">
        <v>0.955127787035982</v>
      </c>
      <c r="M96" s="14">
        <v>0.95371011078114198</v>
      </c>
      <c r="N96" s="14">
        <v>0.95405432803913703</v>
      </c>
      <c r="O96" s="14">
        <v>0.5</v>
      </c>
      <c r="P96" s="15">
        <v>7</v>
      </c>
      <c r="Q96" s="15">
        <v>99999999</v>
      </c>
      <c r="R96" s="16">
        <v>43</v>
      </c>
    </row>
    <row r="97" spans="1:18" x14ac:dyDescent="0.3">
      <c r="A97" s="13">
        <v>2</v>
      </c>
      <c r="B97" s="14" t="s">
        <v>18</v>
      </c>
      <c r="C97" s="14" t="s">
        <v>21</v>
      </c>
      <c r="D97" s="14" t="s">
        <v>20</v>
      </c>
      <c r="E97" s="14">
        <v>21.4039882999495</v>
      </c>
      <c r="F97" s="15">
        <v>60000</v>
      </c>
      <c r="G97" s="15">
        <v>10000</v>
      </c>
      <c r="H97" s="14">
        <v>33.976114999968502</v>
      </c>
      <c r="I97" s="15">
        <v>9654</v>
      </c>
      <c r="J97" s="15">
        <v>346</v>
      </c>
      <c r="K97" s="14">
        <v>0.96540000000000004</v>
      </c>
      <c r="L97" s="14">
        <v>0.96525082196498102</v>
      </c>
      <c r="M97" s="14">
        <v>0.96520194998789299</v>
      </c>
      <c r="N97" s="14">
        <v>0.96520490723492103</v>
      </c>
      <c r="O97" s="14">
        <v>0.5</v>
      </c>
      <c r="P97" s="15">
        <v>7</v>
      </c>
      <c r="Q97" s="15">
        <v>99999999</v>
      </c>
      <c r="R97" s="16">
        <v>784</v>
      </c>
    </row>
    <row r="98" spans="1:18" x14ac:dyDescent="0.3">
      <c r="A98" s="13">
        <v>18</v>
      </c>
      <c r="B98" s="14" t="s">
        <v>18</v>
      </c>
      <c r="C98" s="14" t="s">
        <v>21</v>
      </c>
      <c r="D98" s="14" t="s">
        <v>26</v>
      </c>
      <c r="E98" s="14">
        <v>2.5565987000009001</v>
      </c>
      <c r="F98" s="15">
        <v>60000</v>
      </c>
      <c r="G98" s="15">
        <v>10000</v>
      </c>
      <c r="H98" s="14">
        <v>11.3342422999558</v>
      </c>
      <c r="I98" s="15">
        <v>9757</v>
      </c>
      <c r="J98" s="15">
        <v>243</v>
      </c>
      <c r="K98" s="14">
        <v>0.97570000000000001</v>
      </c>
      <c r="L98" s="14">
        <v>0.975552547634157</v>
      </c>
      <c r="M98" s="14">
        <v>0.97557792779554697</v>
      </c>
      <c r="N98" s="14">
        <v>0.97553725959616</v>
      </c>
      <c r="O98" s="14">
        <v>0.228580506497157</v>
      </c>
      <c r="P98" s="15">
        <v>7</v>
      </c>
      <c r="Q98" s="15">
        <v>99999999</v>
      </c>
      <c r="R98" s="16">
        <v>43</v>
      </c>
    </row>
    <row r="99" spans="1:18" x14ac:dyDescent="0.3">
      <c r="A99" s="13">
        <v>10</v>
      </c>
      <c r="B99" s="14" t="s">
        <v>18</v>
      </c>
      <c r="C99" s="14" t="s">
        <v>21</v>
      </c>
      <c r="D99" s="14" t="s">
        <v>25</v>
      </c>
      <c r="E99" s="14">
        <v>2.2460039000143199</v>
      </c>
      <c r="F99" s="15">
        <v>60000</v>
      </c>
      <c r="G99" s="15">
        <v>10000</v>
      </c>
      <c r="H99" s="14">
        <v>11.285113199963201</v>
      </c>
      <c r="I99" s="15">
        <v>9128</v>
      </c>
      <c r="J99" s="15">
        <v>872</v>
      </c>
      <c r="K99" s="14">
        <v>0.91279999999999994</v>
      </c>
      <c r="L99" s="14">
        <v>0.91166802139724701</v>
      </c>
      <c r="M99" s="14">
        <v>0.91165103572328499</v>
      </c>
      <c r="N99" s="14">
        <v>0.91157932268179298</v>
      </c>
      <c r="O99" s="14">
        <v>0.5</v>
      </c>
      <c r="P99" s="15">
        <v>7</v>
      </c>
      <c r="Q99" s="15">
        <v>99999999</v>
      </c>
      <c r="R99" s="16">
        <v>9</v>
      </c>
    </row>
    <row r="100" spans="1:18" x14ac:dyDescent="0.3">
      <c r="A100" s="13">
        <v>6</v>
      </c>
      <c r="B100" s="14" t="s">
        <v>18</v>
      </c>
      <c r="C100" s="14" t="s">
        <v>21</v>
      </c>
      <c r="D100" s="14" t="s">
        <v>24</v>
      </c>
      <c r="E100" s="14">
        <v>5.1996443999814801</v>
      </c>
      <c r="F100" s="15">
        <v>60000</v>
      </c>
      <c r="G100" s="15">
        <v>10000</v>
      </c>
      <c r="H100" s="14">
        <v>11.7830570999649</v>
      </c>
      <c r="I100" s="15">
        <v>9551</v>
      </c>
      <c r="J100" s="15">
        <v>449</v>
      </c>
      <c r="K100" s="14">
        <v>0.95509999999999995</v>
      </c>
      <c r="L100" s="14">
        <v>0.95454035035060003</v>
      </c>
      <c r="M100" s="14">
        <v>0.95469273804404897</v>
      </c>
      <c r="N100" s="14">
        <v>0.95459587963546</v>
      </c>
      <c r="O100" s="14">
        <v>0.5</v>
      </c>
      <c r="P100" s="15">
        <v>7</v>
      </c>
      <c r="Q100" s="15">
        <v>99999999</v>
      </c>
      <c r="R100" s="16">
        <v>43</v>
      </c>
    </row>
    <row r="101" spans="1:18" x14ac:dyDescent="0.3">
      <c r="A101" s="13">
        <v>14</v>
      </c>
      <c r="B101" s="14" t="s">
        <v>18</v>
      </c>
      <c r="C101" s="14" t="s">
        <v>21</v>
      </c>
      <c r="D101" s="14" t="s">
        <v>39</v>
      </c>
      <c r="E101" s="14">
        <v>4.1803882999811304</v>
      </c>
      <c r="F101" s="15">
        <v>60000</v>
      </c>
      <c r="G101" s="15">
        <v>10000</v>
      </c>
      <c r="H101" s="14">
        <v>101.504567299969</v>
      </c>
      <c r="I101" s="15">
        <v>9556</v>
      </c>
      <c r="J101" s="15">
        <v>444</v>
      </c>
      <c r="K101" s="14">
        <v>0.9556</v>
      </c>
      <c r="L101" s="14">
        <v>0.956578278118145</v>
      </c>
      <c r="M101" s="14">
        <v>0.95525618174571802</v>
      </c>
      <c r="N101" s="14">
        <v>0.95558906495617502</v>
      </c>
      <c r="O101" s="14">
        <v>0.5</v>
      </c>
      <c r="P101" s="15">
        <v>7</v>
      </c>
      <c r="Q101" s="15">
        <v>99999999</v>
      </c>
      <c r="R101" s="16">
        <v>43</v>
      </c>
    </row>
    <row r="102" spans="1:18" x14ac:dyDescent="0.3">
      <c r="A102" s="9">
        <v>101</v>
      </c>
      <c r="B102" s="10" t="s">
        <v>30</v>
      </c>
      <c r="C102" s="10" t="s">
        <v>19</v>
      </c>
      <c r="D102" s="10" t="s">
        <v>20</v>
      </c>
      <c r="E102" s="10">
        <v>9.6207999740727194E-3</v>
      </c>
      <c r="F102" s="11">
        <v>7291</v>
      </c>
      <c r="G102" s="11">
        <v>2007</v>
      </c>
      <c r="H102" s="10">
        <v>0.87567420001141705</v>
      </c>
      <c r="I102" s="11">
        <v>1829</v>
      </c>
      <c r="J102" s="11">
        <v>178</v>
      </c>
      <c r="K102" s="10">
        <v>0.91131041355256603</v>
      </c>
      <c r="L102" s="10">
        <v>0.91236489815823196</v>
      </c>
      <c r="M102" s="10">
        <v>0.90062297848842998</v>
      </c>
      <c r="N102" s="10">
        <v>0.90503565910252803</v>
      </c>
      <c r="O102" s="10">
        <v>0.5</v>
      </c>
      <c r="P102" s="11">
        <v>7</v>
      </c>
      <c r="Q102" s="11">
        <v>99999999</v>
      </c>
      <c r="R102" s="12">
        <v>256</v>
      </c>
    </row>
    <row r="103" spans="1:18" x14ac:dyDescent="0.3">
      <c r="A103" s="9">
        <v>117</v>
      </c>
      <c r="B103" s="10" t="s">
        <v>30</v>
      </c>
      <c r="C103" s="10" t="s">
        <v>19</v>
      </c>
      <c r="D103" s="10" t="s">
        <v>26</v>
      </c>
      <c r="E103" s="10">
        <v>1.99580000480636E-3</v>
      </c>
      <c r="F103" s="11">
        <v>7291</v>
      </c>
      <c r="G103" s="11">
        <v>2007</v>
      </c>
      <c r="H103" s="10">
        <v>1.0405771000077899</v>
      </c>
      <c r="I103" s="11">
        <v>1804</v>
      </c>
      <c r="J103" s="11">
        <v>203</v>
      </c>
      <c r="K103" s="10">
        <v>0.89885401096163398</v>
      </c>
      <c r="L103" s="10">
        <v>0.90314934986114803</v>
      </c>
      <c r="M103" s="10">
        <v>0.88763939900751598</v>
      </c>
      <c r="N103" s="10">
        <v>0.89393131507059498</v>
      </c>
      <c r="O103" s="10">
        <v>0.228580506497157</v>
      </c>
      <c r="P103" s="11">
        <v>7</v>
      </c>
      <c r="Q103" s="11">
        <v>99999999</v>
      </c>
      <c r="R103" s="12">
        <v>43</v>
      </c>
    </row>
    <row r="104" spans="1:18" x14ac:dyDescent="0.3">
      <c r="A104" s="9">
        <v>109</v>
      </c>
      <c r="B104" s="10" t="s">
        <v>30</v>
      </c>
      <c r="C104" s="10" t="s">
        <v>19</v>
      </c>
      <c r="D104" s="10" t="s">
        <v>25</v>
      </c>
      <c r="E104" s="10">
        <v>0.13966799998888699</v>
      </c>
      <c r="F104" s="11">
        <v>7291</v>
      </c>
      <c r="G104" s="11">
        <v>2007</v>
      </c>
      <c r="H104" s="10">
        <v>1.21561869996367</v>
      </c>
      <c r="I104" s="11">
        <v>1817</v>
      </c>
      <c r="J104" s="11">
        <v>190</v>
      </c>
      <c r="K104" s="10">
        <v>0.90533134030891804</v>
      </c>
      <c r="L104" s="10">
        <v>0.89918705606153004</v>
      </c>
      <c r="M104" s="10">
        <v>0.89511435820110796</v>
      </c>
      <c r="N104" s="10">
        <v>0.89678712079278999</v>
      </c>
      <c r="O104" s="10">
        <v>0.5</v>
      </c>
      <c r="P104" s="11">
        <v>7</v>
      </c>
      <c r="Q104" s="11">
        <v>99999999</v>
      </c>
      <c r="R104" s="12">
        <v>9</v>
      </c>
    </row>
    <row r="105" spans="1:18" x14ac:dyDescent="0.3">
      <c r="A105" s="9">
        <v>105</v>
      </c>
      <c r="B105" s="10" t="s">
        <v>30</v>
      </c>
      <c r="C105" s="10" t="s">
        <v>19</v>
      </c>
      <c r="D105" s="10" t="s">
        <v>24</v>
      </c>
      <c r="E105" s="10">
        <v>2.21529998816549E-3</v>
      </c>
      <c r="F105" s="11">
        <v>7291</v>
      </c>
      <c r="G105" s="11">
        <v>2007</v>
      </c>
      <c r="H105" s="10">
        <v>0.83027450001100001</v>
      </c>
      <c r="I105" s="11">
        <v>1903</v>
      </c>
      <c r="J105" s="11">
        <v>104</v>
      </c>
      <c r="K105" s="10">
        <v>0.94818136522172303</v>
      </c>
      <c r="L105" s="10">
        <v>0.94535373390466604</v>
      </c>
      <c r="M105" s="10">
        <v>0.94282821102845504</v>
      </c>
      <c r="N105" s="10">
        <v>0.94376926936064098</v>
      </c>
      <c r="O105" s="10">
        <v>0.5</v>
      </c>
      <c r="P105" s="11">
        <v>7</v>
      </c>
      <c r="Q105" s="11">
        <v>99999999</v>
      </c>
      <c r="R105" s="12">
        <v>43</v>
      </c>
    </row>
    <row r="106" spans="1:18" x14ac:dyDescent="0.3">
      <c r="A106" s="9">
        <v>113</v>
      </c>
      <c r="B106" s="10" t="s">
        <v>30</v>
      </c>
      <c r="C106" s="10" t="s">
        <v>19</v>
      </c>
      <c r="D106" s="10" t="s">
        <v>39</v>
      </c>
      <c r="E106" s="10">
        <v>1.7430000007152501E-3</v>
      </c>
      <c r="F106" s="11">
        <v>7291</v>
      </c>
      <c r="G106" s="11">
        <v>2007</v>
      </c>
      <c r="H106" s="10">
        <v>26.824753199995001</v>
      </c>
      <c r="I106" s="11">
        <v>1866</v>
      </c>
      <c r="J106" s="11">
        <v>141</v>
      </c>
      <c r="K106" s="10">
        <v>0.92974588938714497</v>
      </c>
      <c r="L106" s="10">
        <v>0.92943070417040496</v>
      </c>
      <c r="M106" s="10">
        <v>0.92160632176594603</v>
      </c>
      <c r="N106" s="10">
        <v>0.92467050287377806</v>
      </c>
      <c r="O106" s="10">
        <v>0.5</v>
      </c>
      <c r="P106" s="11">
        <v>7</v>
      </c>
      <c r="Q106" s="11">
        <v>99999999</v>
      </c>
      <c r="R106" s="12">
        <v>43</v>
      </c>
    </row>
    <row r="107" spans="1:18" x14ac:dyDescent="0.3">
      <c r="A107" s="9">
        <v>103</v>
      </c>
      <c r="B107" s="10" t="s">
        <v>30</v>
      </c>
      <c r="C107" s="10" t="s">
        <v>22</v>
      </c>
      <c r="D107" s="10" t="s">
        <v>20</v>
      </c>
      <c r="E107" s="10">
        <v>21.1549284000066</v>
      </c>
      <c r="F107" s="11">
        <v>7291</v>
      </c>
      <c r="G107" s="11">
        <v>2007</v>
      </c>
      <c r="H107" s="10">
        <v>21.768688199983401</v>
      </c>
      <c r="I107" s="11">
        <v>1857</v>
      </c>
      <c r="J107" s="11">
        <v>150</v>
      </c>
      <c r="K107" s="10">
        <v>0.92526158445440898</v>
      </c>
      <c r="L107" s="10">
        <v>0.91968234862252496</v>
      </c>
      <c r="M107" s="10">
        <v>0.91918853377359</v>
      </c>
      <c r="N107" s="10">
        <v>0.91933629485044299</v>
      </c>
      <c r="O107" s="10">
        <v>0.5</v>
      </c>
      <c r="P107" s="11">
        <v>7</v>
      </c>
      <c r="Q107" s="11">
        <v>99999999</v>
      </c>
      <c r="R107" s="12">
        <v>256</v>
      </c>
    </row>
    <row r="108" spans="1:18" x14ac:dyDescent="0.3">
      <c r="A108" s="9">
        <v>119</v>
      </c>
      <c r="B108" s="10" t="s">
        <v>30</v>
      </c>
      <c r="C108" s="10" t="s">
        <v>22</v>
      </c>
      <c r="D108" s="10" t="s">
        <v>26</v>
      </c>
      <c r="E108" s="10">
        <v>34.826627600006702</v>
      </c>
      <c r="F108" s="11">
        <v>7291</v>
      </c>
      <c r="G108" s="11">
        <v>2007</v>
      </c>
      <c r="H108" s="10">
        <v>35.813873799983398</v>
      </c>
      <c r="I108" s="11">
        <v>1849</v>
      </c>
      <c r="J108" s="11">
        <v>158</v>
      </c>
      <c r="K108" s="10">
        <v>0.92127553562531095</v>
      </c>
      <c r="L108" s="10">
        <v>0.91593907692839205</v>
      </c>
      <c r="M108" s="10">
        <v>0.91852402013492895</v>
      </c>
      <c r="N108" s="10">
        <v>0.91685755240097699</v>
      </c>
      <c r="O108" s="10">
        <v>0.228580506497157</v>
      </c>
      <c r="P108" s="11">
        <v>7</v>
      </c>
      <c r="Q108" s="11">
        <v>99999999</v>
      </c>
      <c r="R108" s="12">
        <v>43</v>
      </c>
    </row>
    <row r="109" spans="1:18" x14ac:dyDescent="0.3">
      <c r="A109" s="9">
        <v>111</v>
      </c>
      <c r="B109" s="10" t="s">
        <v>30</v>
      </c>
      <c r="C109" s="10" t="s">
        <v>22</v>
      </c>
      <c r="D109" s="10" t="s">
        <v>25</v>
      </c>
      <c r="E109" s="10">
        <v>26.7094338000169</v>
      </c>
      <c r="F109" s="11">
        <v>7291</v>
      </c>
      <c r="G109" s="11">
        <v>2007</v>
      </c>
      <c r="H109" s="10">
        <v>27.298375999962399</v>
      </c>
      <c r="I109" s="11">
        <v>1813</v>
      </c>
      <c r="J109" s="11">
        <v>194</v>
      </c>
      <c r="K109" s="10">
        <v>0.90333831589436897</v>
      </c>
      <c r="L109" s="10">
        <v>0.89522456378287596</v>
      </c>
      <c r="M109" s="10">
        <v>0.89509374374530404</v>
      </c>
      <c r="N109" s="10">
        <v>0.89483944127447601</v>
      </c>
      <c r="O109" s="10">
        <v>0.5</v>
      </c>
      <c r="P109" s="11">
        <v>7</v>
      </c>
      <c r="Q109" s="11">
        <v>99999999</v>
      </c>
      <c r="R109" s="12">
        <v>9</v>
      </c>
    </row>
    <row r="110" spans="1:18" x14ac:dyDescent="0.3">
      <c r="A110" s="9">
        <v>107</v>
      </c>
      <c r="B110" s="10" t="s">
        <v>30</v>
      </c>
      <c r="C110" s="10" t="s">
        <v>22</v>
      </c>
      <c r="D110" s="10" t="s">
        <v>24</v>
      </c>
      <c r="E110" s="10">
        <v>16.260950299969402</v>
      </c>
      <c r="F110" s="11">
        <v>7291</v>
      </c>
      <c r="G110" s="11">
        <v>2007</v>
      </c>
      <c r="H110" s="10">
        <v>17.228008300007701</v>
      </c>
      <c r="I110" s="11">
        <v>1890</v>
      </c>
      <c r="J110" s="11">
        <v>117</v>
      </c>
      <c r="K110" s="10">
        <v>0.94170403587443896</v>
      </c>
      <c r="L110" s="10">
        <v>0.93690351862857502</v>
      </c>
      <c r="M110" s="10">
        <v>0.93590906018799402</v>
      </c>
      <c r="N110" s="10">
        <v>0.93623241738654295</v>
      </c>
      <c r="O110" s="10">
        <v>0.5</v>
      </c>
      <c r="P110" s="11">
        <v>7</v>
      </c>
      <c r="Q110" s="11">
        <v>99999999</v>
      </c>
      <c r="R110" s="12">
        <v>43</v>
      </c>
    </row>
    <row r="111" spans="1:18" x14ac:dyDescent="0.3">
      <c r="A111" s="9">
        <v>115</v>
      </c>
      <c r="B111" s="10" t="s">
        <v>30</v>
      </c>
      <c r="C111" s="10" t="s">
        <v>22</v>
      </c>
      <c r="D111" s="10" t="s">
        <v>39</v>
      </c>
      <c r="E111" s="10">
        <v>14.668145500007</v>
      </c>
      <c r="F111" s="11">
        <v>7291</v>
      </c>
      <c r="G111" s="11">
        <v>2007</v>
      </c>
      <c r="H111" s="10">
        <v>38.7944602000061</v>
      </c>
      <c r="I111" s="11">
        <v>1851</v>
      </c>
      <c r="J111" s="11">
        <v>156</v>
      </c>
      <c r="K111" s="10">
        <v>0.92227204783258598</v>
      </c>
      <c r="L111" s="10">
        <v>0.921212326577171</v>
      </c>
      <c r="M111" s="10">
        <v>0.91310201640892497</v>
      </c>
      <c r="N111" s="10">
        <v>0.91580195521459395</v>
      </c>
      <c r="O111" s="10">
        <v>0.5</v>
      </c>
      <c r="P111" s="11">
        <v>7</v>
      </c>
      <c r="Q111" s="11">
        <v>99999999</v>
      </c>
      <c r="R111" s="12">
        <v>43</v>
      </c>
    </row>
    <row r="112" spans="1:18" x14ac:dyDescent="0.3">
      <c r="A112" s="13">
        <v>104</v>
      </c>
      <c r="B112" s="14" t="s">
        <v>30</v>
      </c>
      <c r="C112" s="14" t="s">
        <v>23</v>
      </c>
      <c r="D112" s="14" t="s">
        <v>20</v>
      </c>
      <c r="E112" s="14">
        <v>1.46176510001532</v>
      </c>
      <c r="F112" s="15">
        <v>7291</v>
      </c>
      <c r="G112" s="15">
        <v>2007</v>
      </c>
      <c r="H112" s="14">
        <v>3.5502253000158799</v>
      </c>
      <c r="I112" s="15">
        <v>1861</v>
      </c>
      <c r="J112" s="15">
        <v>146</v>
      </c>
      <c r="K112" s="14">
        <v>0.92725460886895805</v>
      </c>
      <c r="L112" s="14">
        <v>0.920513150870654</v>
      </c>
      <c r="M112" s="14">
        <v>0.92051298861658104</v>
      </c>
      <c r="N112" s="14">
        <v>0.92037750303087895</v>
      </c>
      <c r="O112" s="14">
        <v>0.5</v>
      </c>
      <c r="P112" s="15">
        <v>7</v>
      </c>
      <c r="Q112" s="15">
        <v>99999999</v>
      </c>
      <c r="R112" s="16">
        <v>256</v>
      </c>
    </row>
    <row r="113" spans="1:18" x14ac:dyDescent="0.3">
      <c r="A113" s="13">
        <v>120</v>
      </c>
      <c r="B113" s="14" t="s">
        <v>30</v>
      </c>
      <c r="C113" s="14" t="s">
        <v>23</v>
      </c>
      <c r="D113" s="14" t="s">
        <v>26</v>
      </c>
      <c r="E113" s="14">
        <v>0.54373939998913501</v>
      </c>
      <c r="F113" s="15">
        <v>7291</v>
      </c>
      <c r="G113" s="15">
        <v>2007</v>
      </c>
      <c r="H113" s="14">
        <v>2.05284030002076</v>
      </c>
      <c r="I113" s="15">
        <v>1814</v>
      </c>
      <c r="J113" s="15">
        <v>193</v>
      </c>
      <c r="K113" s="14">
        <v>0.90383657199800604</v>
      </c>
      <c r="L113" s="14">
        <v>0.90587417070769305</v>
      </c>
      <c r="M113" s="14">
        <v>0.895238879080546</v>
      </c>
      <c r="N113" s="14">
        <v>0.89981049740484798</v>
      </c>
      <c r="O113" s="14">
        <v>0.228580506497157</v>
      </c>
      <c r="P113" s="15">
        <v>7</v>
      </c>
      <c r="Q113" s="15">
        <v>99999999</v>
      </c>
      <c r="R113" s="16">
        <v>43</v>
      </c>
    </row>
    <row r="114" spans="1:18" x14ac:dyDescent="0.3">
      <c r="A114" s="13">
        <v>112</v>
      </c>
      <c r="B114" s="14" t="s">
        <v>30</v>
      </c>
      <c r="C114" s="14" t="s">
        <v>23</v>
      </c>
      <c r="D114" s="14" t="s">
        <v>25</v>
      </c>
      <c r="E114" s="14">
        <v>0.175688899995293</v>
      </c>
      <c r="F114" s="15">
        <v>7291</v>
      </c>
      <c r="G114" s="15">
        <v>2007</v>
      </c>
      <c r="H114" s="14">
        <v>1.0243522999808099</v>
      </c>
      <c r="I114" s="15">
        <v>1812</v>
      </c>
      <c r="J114" s="15">
        <v>195</v>
      </c>
      <c r="K114" s="14">
        <v>0.90284005979073201</v>
      </c>
      <c r="L114" s="14">
        <v>0.89484413346981195</v>
      </c>
      <c r="M114" s="14">
        <v>0.89415435054761905</v>
      </c>
      <c r="N114" s="14">
        <v>0.89405276327490502</v>
      </c>
      <c r="O114" s="14">
        <v>0.5</v>
      </c>
      <c r="P114" s="15">
        <v>7</v>
      </c>
      <c r="Q114" s="15">
        <v>99999999</v>
      </c>
      <c r="R114" s="16">
        <v>9</v>
      </c>
    </row>
    <row r="115" spans="1:18" x14ac:dyDescent="0.3">
      <c r="A115" s="13">
        <v>108</v>
      </c>
      <c r="B115" s="14" t="s">
        <v>30</v>
      </c>
      <c r="C115" s="14" t="s">
        <v>23</v>
      </c>
      <c r="D115" s="14" t="s">
        <v>24</v>
      </c>
      <c r="E115" s="14">
        <v>0.56915130000561398</v>
      </c>
      <c r="F115" s="15">
        <v>7291</v>
      </c>
      <c r="G115" s="15">
        <v>2007</v>
      </c>
      <c r="H115" s="14">
        <v>1.8192075000260901</v>
      </c>
      <c r="I115" s="15">
        <v>1909</v>
      </c>
      <c r="J115" s="15">
        <v>98</v>
      </c>
      <c r="K115" s="14">
        <v>0.95117090184354702</v>
      </c>
      <c r="L115" s="14">
        <v>0.94774032114228002</v>
      </c>
      <c r="M115" s="14">
        <v>0.94634772360016195</v>
      </c>
      <c r="N115" s="14">
        <v>0.946833223075218</v>
      </c>
      <c r="O115" s="14">
        <v>0.5</v>
      </c>
      <c r="P115" s="15">
        <v>7</v>
      </c>
      <c r="Q115" s="15">
        <v>99999999</v>
      </c>
      <c r="R115" s="16">
        <v>43</v>
      </c>
    </row>
    <row r="116" spans="1:18" x14ac:dyDescent="0.3">
      <c r="A116" s="13">
        <v>116</v>
      </c>
      <c r="B116" s="14" t="s">
        <v>30</v>
      </c>
      <c r="C116" s="14" t="s">
        <v>23</v>
      </c>
      <c r="D116" s="14" t="s">
        <v>39</v>
      </c>
      <c r="E116" s="14">
        <v>0.21020820003468499</v>
      </c>
      <c r="F116" s="15">
        <v>7291</v>
      </c>
      <c r="G116" s="15">
        <v>2007</v>
      </c>
      <c r="H116" s="14">
        <v>24.963353799947001</v>
      </c>
      <c r="I116" s="15">
        <v>1859</v>
      </c>
      <c r="J116" s="15">
        <v>148</v>
      </c>
      <c r="K116" s="14">
        <v>0.92625809666168402</v>
      </c>
      <c r="L116" s="14">
        <v>0.92505478633418803</v>
      </c>
      <c r="M116" s="14">
        <v>0.91731692707198498</v>
      </c>
      <c r="N116" s="14">
        <v>0.92010271243268704</v>
      </c>
      <c r="O116" s="14">
        <v>0.5</v>
      </c>
      <c r="P116" s="15">
        <v>7</v>
      </c>
      <c r="Q116" s="15">
        <v>99999999</v>
      </c>
      <c r="R116" s="16">
        <v>43</v>
      </c>
    </row>
    <row r="117" spans="1:18" x14ac:dyDescent="0.3">
      <c r="A117" s="13">
        <v>102</v>
      </c>
      <c r="B117" s="14" t="s">
        <v>30</v>
      </c>
      <c r="C117" s="14" t="s">
        <v>21</v>
      </c>
      <c r="D117" s="14" t="s">
        <v>20</v>
      </c>
      <c r="E117" s="14">
        <v>2.96416079998016</v>
      </c>
      <c r="F117" s="15">
        <v>7291</v>
      </c>
      <c r="G117" s="15">
        <v>2007</v>
      </c>
      <c r="H117" s="14">
        <v>3.5990319999982598</v>
      </c>
      <c r="I117" s="15">
        <v>1852</v>
      </c>
      <c r="J117" s="15">
        <v>155</v>
      </c>
      <c r="K117" s="14">
        <v>0.92277030393622295</v>
      </c>
      <c r="L117" s="14">
        <v>0.91592104733172497</v>
      </c>
      <c r="M117" s="14">
        <v>0.91601586666096801</v>
      </c>
      <c r="N117" s="14">
        <v>0.91582764686067497</v>
      </c>
      <c r="O117" s="14">
        <v>0.5</v>
      </c>
      <c r="P117" s="15">
        <v>7</v>
      </c>
      <c r="Q117" s="15">
        <v>99999999</v>
      </c>
      <c r="R117" s="16">
        <v>256</v>
      </c>
    </row>
    <row r="118" spans="1:18" x14ac:dyDescent="0.3">
      <c r="A118" s="13">
        <v>118</v>
      </c>
      <c r="B118" s="14" t="s">
        <v>30</v>
      </c>
      <c r="C118" s="14" t="s">
        <v>21</v>
      </c>
      <c r="D118" s="14" t="s">
        <v>26</v>
      </c>
      <c r="E118" s="14">
        <v>1.6025641000014701</v>
      </c>
      <c r="F118" s="15">
        <v>7291</v>
      </c>
      <c r="G118" s="15">
        <v>2007</v>
      </c>
      <c r="H118" s="14">
        <v>2.61610590002965</v>
      </c>
      <c r="I118" s="15">
        <v>1851</v>
      </c>
      <c r="J118" s="15">
        <v>156</v>
      </c>
      <c r="K118" s="14">
        <v>0.92227204783258598</v>
      </c>
      <c r="L118" s="14">
        <v>0.91933434841898498</v>
      </c>
      <c r="M118" s="14">
        <v>0.917070650490038</v>
      </c>
      <c r="N118" s="14">
        <v>0.91811441095962198</v>
      </c>
      <c r="O118" s="14">
        <v>0.228580506497157</v>
      </c>
      <c r="P118" s="15">
        <v>7</v>
      </c>
      <c r="Q118" s="15">
        <v>99999999</v>
      </c>
      <c r="R118" s="16">
        <v>43</v>
      </c>
    </row>
    <row r="119" spans="1:18" x14ac:dyDescent="0.3">
      <c r="A119" s="13">
        <v>110</v>
      </c>
      <c r="B119" s="14" t="s">
        <v>30</v>
      </c>
      <c r="C119" s="14" t="s">
        <v>21</v>
      </c>
      <c r="D119" s="14" t="s">
        <v>25</v>
      </c>
      <c r="E119" s="14">
        <v>1.3675756999873501</v>
      </c>
      <c r="F119" s="15">
        <v>7291</v>
      </c>
      <c r="G119" s="15">
        <v>2007</v>
      </c>
      <c r="H119" s="14">
        <v>2.0481077999575001</v>
      </c>
      <c r="I119" s="15">
        <v>1807</v>
      </c>
      <c r="J119" s="15">
        <v>200</v>
      </c>
      <c r="K119" s="14">
        <v>0.90034877927254597</v>
      </c>
      <c r="L119" s="14">
        <v>0.89256845230225401</v>
      </c>
      <c r="M119" s="14">
        <v>0.89008038912594201</v>
      </c>
      <c r="N119" s="14">
        <v>0.891115768594826</v>
      </c>
      <c r="O119" s="14">
        <v>0.5</v>
      </c>
      <c r="P119" s="15">
        <v>7</v>
      </c>
      <c r="Q119" s="15">
        <v>99999999</v>
      </c>
      <c r="R119" s="16">
        <v>9</v>
      </c>
    </row>
    <row r="120" spans="1:18" x14ac:dyDescent="0.3">
      <c r="A120" s="13">
        <v>106</v>
      </c>
      <c r="B120" s="14" t="s">
        <v>30</v>
      </c>
      <c r="C120" s="14" t="s">
        <v>21</v>
      </c>
      <c r="D120" s="14" t="s">
        <v>24</v>
      </c>
      <c r="E120" s="14">
        <v>3.9466235000290899</v>
      </c>
      <c r="F120" s="15">
        <v>7291</v>
      </c>
      <c r="G120" s="15">
        <v>2007</v>
      </c>
      <c r="H120" s="14">
        <v>4.7203161999932401</v>
      </c>
      <c r="I120" s="15">
        <v>1864</v>
      </c>
      <c r="J120" s="15">
        <v>143</v>
      </c>
      <c r="K120" s="14">
        <v>0.92874937717987005</v>
      </c>
      <c r="L120" s="14">
        <v>0.92441830497194699</v>
      </c>
      <c r="M120" s="14">
        <v>0.92145334061948303</v>
      </c>
      <c r="N120" s="14">
        <v>0.92280604571931801</v>
      </c>
      <c r="O120" s="14">
        <v>0.5</v>
      </c>
      <c r="P120" s="15">
        <v>7</v>
      </c>
      <c r="Q120" s="15">
        <v>99999999</v>
      </c>
      <c r="R120" s="16">
        <v>43</v>
      </c>
    </row>
    <row r="121" spans="1:18" x14ac:dyDescent="0.3">
      <c r="A121" s="4">
        <v>114</v>
      </c>
      <c r="B121" s="17" t="s">
        <v>30</v>
      </c>
      <c r="C121" s="17" t="s">
        <v>21</v>
      </c>
      <c r="D121" s="17" t="s">
        <v>39</v>
      </c>
      <c r="E121" s="17">
        <v>2.5778076000278798</v>
      </c>
      <c r="F121" s="5">
        <v>7291</v>
      </c>
      <c r="G121" s="5">
        <v>2007</v>
      </c>
      <c r="H121" s="17">
        <v>29.3217772000352</v>
      </c>
      <c r="I121" s="5">
        <v>1857</v>
      </c>
      <c r="J121" s="5">
        <v>150</v>
      </c>
      <c r="K121" s="17">
        <v>0.92526158445440898</v>
      </c>
      <c r="L121" s="17">
        <v>0.92328981881209105</v>
      </c>
      <c r="M121" s="17">
        <v>0.91622343291043895</v>
      </c>
      <c r="N121" s="17">
        <v>0.91911372331740404</v>
      </c>
      <c r="O121" s="17">
        <v>0.5</v>
      </c>
      <c r="P121" s="5">
        <v>7</v>
      </c>
      <c r="Q121" s="5">
        <v>99999999</v>
      </c>
      <c r="R121" s="18">
        <v>43</v>
      </c>
    </row>
  </sheetData>
  <sortState xmlns:xlrd2="http://schemas.microsoft.com/office/spreadsheetml/2017/richdata2" ref="A2:S121">
    <sortCondition ref="B2:B121"/>
    <sortCondition ref="D2:D121"/>
    <sortCondition ref="C2:C121"/>
  </sortState>
  <conditionalFormatting sqref="S1:S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724A4-C625-47C8-8809-BDB36BCABBFC}">
  <dimension ref="A1:K126"/>
  <sheetViews>
    <sheetView workbookViewId="0">
      <selection activeCell="H105" sqref="H105"/>
    </sheetView>
  </sheetViews>
  <sheetFormatPr defaultRowHeight="14.4" x14ac:dyDescent="0.3"/>
  <cols>
    <col min="1" max="1" width="8.88671875" customWidth="1"/>
    <col min="6" max="6" width="21.6640625" bestFit="1" customWidth="1"/>
    <col min="7" max="7" width="17.33203125" bestFit="1" customWidth="1"/>
    <col min="8" max="11" width="12" bestFit="1" customWidth="1"/>
    <col min="12" max="12" width="13.5546875" bestFit="1" customWidth="1"/>
    <col min="13" max="13" width="8.6640625" bestFit="1" customWidth="1"/>
    <col min="14" max="14" width="6" bestFit="1" customWidth="1"/>
    <col min="15" max="16" width="7" bestFit="1" customWidth="1"/>
    <col min="17" max="17" width="25.44140625" bestFit="1" customWidth="1"/>
    <col min="18" max="18" width="22.6640625" bestFit="1" customWidth="1"/>
    <col min="19" max="19" width="8.6640625" bestFit="1" customWidth="1"/>
    <col min="20" max="22" width="7" bestFit="1" customWidth="1"/>
    <col min="23" max="23" width="26.33203125" bestFit="1" customWidth="1"/>
    <col min="24" max="24" width="12" bestFit="1" customWidth="1"/>
    <col min="25" max="25" width="8.6640625" bestFit="1" customWidth="1"/>
    <col min="26" max="26" width="6" bestFit="1" customWidth="1"/>
    <col min="27" max="28" width="7" bestFit="1" customWidth="1"/>
    <col min="29" max="29" width="13.33203125" bestFit="1" customWidth="1"/>
    <col min="30" max="30" width="13.5546875" bestFit="1" customWidth="1"/>
  </cols>
  <sheetData>
    <row r="1" spans="1:11" x14ac:dyDescent="0.3">
      <c r="A1" t="s">
        <v>32</v>
      </c>
      <c r="B1" t="s">
        <v>38</v>
      </c>
      <c r="C1" t="s">
        <v>33</v>
      </c>
      <c r="D1" t="s">
        <v>34</v>
      </c>
    </row>
    <row r="2" spans="1:11" x14ac:dyDescent="0.3">
      <c r="A2" t="str">
        <f>Dane!B2</f>
        <v>Arabic</v>
      </c>
      <c r="B2" t="str">
        <f>Dane!C2</f>
        <v>K-Nearest Neighbors</v>
      </c>
      <c r="C2" t="str">
        <f>Dane!D2</f>
        <v>Brak redukcji</v>
      </c>
      <c r="D2">
        <f>Dane!K2</f>
        <v>0.97140000000000004</v>
      </c>
      <c r="F2" s="1" t="s">
        <v>37</v>
      </c>
      <c r="G2" s="1" t="s">
        <v>35</v>
      </c>
    </row>
    <row r="3" spans="1:11" x14ac:dyDescent="0.3">
      <c r="A3" t="str">
        <f>Dane!B3</f>
        <v>Arabic</v>
      </c>
      <c r="B3" t="str">
        <f>Dane!C3</f>
        <v>K-Nearest Neighbors</v>
      </c>
      <c r="C3" t="str">
        <f>Dane!D3</f>
        <v>Flood Fill</v>
      </c>
      <c r="D3">
        <f>Dane!K3</f>
        <v>0.96099999999999997</v>
      </c>
      <c r="F3" s="1" t="s">
        <v>36</v>
      </c>
      <c r="G3" t="s">
        <v>20</v>
      </c>
      <c r="H3" t="s">
        <v>26</v>
      </c>
      <c r="I3" t="s">
        <v>25</v>
      </c>
      <c r="J3" t="s">
        <v>24</v>
      </c>
      <c r="K3" t="s">
        <v>39</v>
      </c>
    </row>
    <row r="4" spans="1:11" x14ac:dyDescent="0.3">
      <c r="A4" t="str">
        <f>Dane!B4</f>
        <v>Arabic</v>
      </c>
      <c r="B4" t="str">
        <f>Dane!C4</f>
        <v>K-Nearest Neighbors</v>
      </c>
      <c r="C4" t="str">
        <f>Dane!D4</f>
        <v>LDA</v>
      </c>
      <c r="D4">
        <f>Dane!K4</f>
        <v>0.95489999999999997</v>
      </c>
      <c r="F4" s="2" t="s">
        <v>19</v>
      </c>
      <c r="G4" s="3">
        <v>0.97140000000000004</v>
      </c>
      <c r="H4" s="3">
        <v>0.96099999999999997</v>
      </c>
      <c r="I4" s="3">
        <v>0.95489999999999997</v>
      </c>
      <c r="J4" s="3">
        <v>0.9829</v>
      </c>
      <c r="K4" s="3">
        <v>0.97160000000000002</v>
      </c>
    </row>
    <row r="5" spans="1:11" x14ac:dyDescent="0.3">
      <c r="A5" t="str">
        <f>Dane!B5</f>
        <v>Arabic</v>
      </c>
      <c r="B5" t="str">
        <f>Dane!C5</f>
        <v>K-Nearest Neighbors</v>
      </c>
      <c r="C5" t="str">
        <f>Dane!D5</f>
        <v>PCA</v>
      </c>
      <c r="D5">
        <f>Dane!K5</f>
        <v>0.9829</v>
      </c>
      <c r="F5" s="2" t="s">
        <v>22</v>
      </c>
      <c r="G5" s="3">
        <v>0.98099999999999998</v>
      </c>
      <c r="H5" s="3">
        <v>0.98050000000000004</v>
      </c>
      <c r="I5" s="3">
        <v>0.95150000000000001</v>
      </c>
      <c r="J5" s="3">
        <v>0.98380000000000001</v>
      </c>
      <c r="K5" s="3">
        <v>0.97070000000000001</v>
      </c>
    </row>
    <row r="6" spans="1:11" x14ac:dyDescent="0.3">
      <c r="A6" t="str">
        <f>Dane!B6</f>
        <v>Arabic</v>
      </c>
      <c r="B6" t="str">
        <f>Dane!C6</f>
        <v>K-Nearest Neighbors</v>
      </c>
      <c r="C6" t="str">
        <f>Dane!D6</f>
        <v>UMAP</v>
      </c>
      <c r="D6">
        <f>Dane!K6</f>
        <v>0.97160000000000002</v>
      </c>
      <c r="F6" s="2" t="s">
        <v>23</v>
      </c>
      <c r="G6" s="3">
        <v>0.98129999999999995</v>
      </c>
      <c r="H6" s="3">
        <v>0.97019999999999995</v>
      </c>
      <c r="I6" s="3">
        <v>0.95479999999999998</v>
      </c>
      <c r="J6" s="3">
        <v>0.9839</v>
      </c>
      <c r="K6" s="3">
        <v>0.97050000000000003</v>
      </c>
    </row>
    <row r="7" spans="1:11" x14ac:dyDescent="0.3">
      <c r="A7" t="str">
        <f>Dane!B7</f>
        <v>Arabic</v>
      </c>
      <c r="B7" t="str">
        <f>Dane!C7</f>
        <v>Multi-Layer Perceptron</v>
      </c>
      <c r="C7" t="str">
        <f>Dane!D7</f>
        <v>Brak redukcji</v>
      </c>
      <c r="D7">
        <f>Dane!K7</f>
        <v>0.98099999999999998</v>
      </c>
      <c r="F7" s="2" t="s">
        <v>21</v>
      </c>
      <c r="G7" s="3">
        <v>0.97250000000000003</v>
      </c>
      <c r="H7" s="3">
        <v>0.97940000000000005</v>
      </c>
      <c r="I7" s="3">
        <v>0.95299999999999996</v>
      </c>
      <c r="J7" s="3">
        <v>0.97489999999999999</v>
      </c>
      <c r="K7" s="3">
        <v>0.97109999999999996</v>
      </c>
    </row>
    <row r="8" spans="1:11" x14ac:dyDescent="0.3">
      <c r="A8" t="str">
        <f>Dane!B8</f>
        <v>Arabic</v>
      </c>
      <c r="B8" t="str">
        <f>Dane!C8</f>
        <v>Multi-Layer Perceptron</v>
      </c>
      <c r="C8" t="str">
        <f>Dane!D8</f>
        <v>Flood Fill</v>
      </c>
      <c r="D8">
        <f>Dane!K8</f>
        <v>0.98050000000000004</v>
      </c>
    </row>
    <row r="9" spans="1:11" x14ac:dyDescent="0.3">
      <c r="A9" t="str">
        <f>Dane!B9</f>
        <v>Arabic</v>
      </c>
      <c r="B9" t="str">
        <f>Dane!C9</f>
        <v>Multi-Layer Perceptron</v>
      </c>
      <c r="C9" t="str">
        <f>Dane!D9</f>
        <v>LDA</v>
      </c>
      <c r="D9">
        <f>Dane!K9</f>
        <v>0.95150000000000001</v>
      </c>
    </row>
    <row r="10" spans="1:11" x14ac:dyDescent="0.3">
      <c r="A10" t="str">
        <f>Dane!B10</f>
        <v>Arabic</v>
      </c>
      <c r="B10" t="str">
        <f>Dane!C10</f>
        <v>Multi-Layer Perceptron</v>
      </c>
      <c r="C10" t="str">
        <f>Dane!D10</f>
        <v>PCA</v>
      </c>
      <c r="D10">
        <f>Dane!K10</f>
        <v>0.98380000000000001</v>
      </c>
    </row>
    <row r="11" spans="1:11" x14ac:dyDescent="0.3">
      <c r="A11" t="str">
        <f>Dane!B11</f>
        <v>Arabic</v>
      </c>
      <c r="B11" t="str">
        <f>Dane!C11</f>
        <v>Multi-Layer Perceptron</v>
      </c>
      <c r="C11" t="str">
        <f>Dane!D11</f>
        <v>UMAP</v>
      </c>
      <c r="D11">
        <f>Dane!K11</f>
        <v>0.97070000000000001</v>
      </c>
    </row>
    <row r="12" spans="1:11" x14ac:dyDescent="0.3">
      <c r="A12" t="str">
        <f>Dane!B12</f>
        <v>Arabic</v>
      </c>
      <c r="B12" t="str">
        <f>Dane!C12</f>
        <v>Support Vector Machine</v>
      </c>
      <c r="C12" t="str">
        <f>Dane!D12</f>
        <v>Brak redukcji</v>
      </c>
      <c r="D12">
        <f>Dane!K12</f>
        <v>0.98129999999999995</v>
      </c>
    </row>
    <row r="13" spans="1:11" x14ac:dyDescent="0.3">
      <c r="A13" t="str">
        <f>Dane!B13</f>
        <v>Arabic</v>
      </c>
      <c r="B13" t="str">
        <f>Dane!C13</f>
        <v>Support Vector Machine</v>
      </c>
      <c r="C13" t="str">
        <f>Dane!D13</f>
        <v>Flood Fill</v>
      </c>
      <c r="D13">
        <f>Dane!K13</f>
        <v>0.97019999999999995</v>
      </c>
    </row>
    <row r="14" spans="1:11" x14ac:dyDescent="0.3">
      <c r="A14" t="str">
        <f>Dane!B14</f>
        <v>Arabic</v>
      </c>
      <c r="B14" t="str">
        <f>Dane!C14</f>
        <v>Support Vector Machine</v>
      </c>
      <c r="C14" t="str">
        <f>Dane!D14</f>
        <v>LDA</v>
      </c>
      <c r="D14">
        <f>Dane!K14</f>
        <v>0.95479999999999998</v>
      </c>
    </row>
    <row r="15" spans="1:11" x14ac:dyDescent="0.3">
      <c r="A15" t="str">
        <f>Dane!B15</f>
        <v>Arabic</v>
      </c>
      <c r="B15" t="str">
        <f>Dane!C15</f>
        <v>Support Vector Machine</v>
      </c>
      <c r="C15" t="str">
        <f>Dane!D15</f>
        <v>PCA</v>
      </c>
      <c r="D15">
        <f>Dane!K15</f>
        <v>0.9839</v>
      </c>
    </row>
    <row r="16" spans="1:11" x14ac:dyDescent="0.3">
      <c r="A16" t="str">
        <f>Dane!B16</f>
        <v>Arabic</v>
      </c>
      <c r="B16" t="str">
        <f>Dane!C16</f>
        <v>Support Vector Machine</v>
      </c>
      <c r="C16" t="str">
        <f>Dane!D16</f>
        <v>UMAP</v>
      </c>
      <c r="D16">
        <f>Dane!K16</f>
        <v>0.97050000000000003</v>
      </c>
    </row>
    <row r="17" spans="1:11" x14ac:dyDescent="0.3">
      <c r="A17" t="str">
        <f>Dane!B17</f>
        <v>Arabic</v>
      </c>
      <c r="B17" t="str">
        <f>Dane!C17</f>
        <v>XGBoost</v>
      </c>
      <c r="C17" t="str">
        <f>Dane!D17</f>
        <v>Brak redukcji</v>
      </c>
      <c r="D17">
        <f>Dane!K17</f>
        <v>0.97250000000000003</v>
      </c>
    </row>
    <row r="18" spans="1:11" x14ac:dyDescent="0.3">
      <c r="A18" t="str">
        <f>Dane!B18</f>
        <v>Arabic</v>
      </c>
      <c r="B18" t="str">
        <f>Dane!C18</f>
        <v>XGBoost</v>
      </c>
      <c r="C18" t="str">
        <f>Dane!D18</f>
        <v>Flood Fill</v>
      </c>
      <c r="D18">
        <f>Dane!K18</f>
        <v>0.97940000000000005</v>
      </c>
    </row>
    <row r="19" spans="1:11" x14ac:dyDescent="0.3">
      <c r="A19" t="str">
        <f>Dane!B19</f>
        <v>Arabic</v>
      </c>
      <c r="B19" t="str">
        <f>Dane!C19</f>
        <v>XGBoost</v>
      </c>
      <c r="C19" t="str">
        <f>Dane!D19</f>
        <v>LDA</v>
      </c>
      <c r="D19">
        <f>Dane!K19</f>
        <v>0.95299999999999996</v>
      </c>
    </row>
    <row r="20" spans="1:11" x14ac:dyDescent="0.3">
      <c r="A20" t="str">
        <f>Dane!B20</f>
        <v>Arabic</v>
      </c>
      <c r="B20" t="str">
        <f>Dane!C20</f>
        <v>XGBoost</v>
      </c>
      <c r="C20" t="str">
        <f>Dane!D20</f>
        <v>PCA</v>
      </c>
      <c r="D20">
        <f>Dane!K20</f>
        <v>0.97489999999999999</v>
      </c>
    </row>
    <row r="21" spans="1:11" x14ac:dyDescent="0.3">
      <c r="A21" t="str">
        <f>Dane!B21</f>
        <v>Arabic</v>
      </c>
      <c r="B21" t="str">
        <f>Dane!C21</f>
        <v>XGBoost</v>
      </c>
      <c r="C21" t="str">
        <f>Dane!D21</f>
        <v>UMAP</v>
      </c>
      <c r="D21">
        <f>Dane!K21</f>
        <v>0.97109999999999996</v>
      </c>
    </row>
    <row r="22" spans="1:11" x14ac:dyDescent="0.3">
      <c r="A22" t="s">
        <v>32</v>
      </c>
      <c r="B22" t="s">
        <v>38</v>
      </c>
      <c r="C22" t="s">
        <v>33</v>
      </c>
      <c r="D22" t="s">
        <v>34</v>
      </c>
      <c r="F22" s="1" t="s">
        <v>37</v>
      </c>
      <c r="G22" s="1" t="s">
        <v>35</v>
      </c>
    </row>
    <row r="23" spans="1:11" x14ac:dyDescent="0.3">
      <c r="A23" t="str">
        <f>Dane!B22</f>
        <v>EMNIST-Balanced</v>
      </c>
      <c r="B23" t="str">
        <f>Dane!C22</f>
        <v>K-Nearest Neighbors</v>
      </c>
      <c r="C23" t="str">
        <f>Dane!D22</f>
        <v>Brak redukcji</v>
      </c>
      <c r="D23">
        <f>Dane!K22</f>
        <v>0.74696808510638302</v>
      </c>
      <c r="F23" s="1" t="s">
        <v>36</v>
      </c>
      <c r="G23" t="s">
        <v>20</v>
      </c>
      <c r="H23" t="s">
        <v>26</v>
      </c>
      <c r="I23" t="s">
        <v>25</v>
      </c>
      <c r="J23" t="s">
        <v>24</v>
      </c>
      <c r="K23" t="s">
        <v>39</v>
      </c>
    </row>
    <row r="24" spans="1:11" x14ac:dyDescent="0.3">
      <c r="A24" t="str">
        <f>Dane!B23</f>
        <v>EMNIST-Balanced</v>
      </c>
      <c r="B24" t="str">
        <f>Dane!C23</f>
        <v>K-Nearest Neighbors</v>
      </c>
      <c r="C24" t="str">
        <f>Dane!D23</f>
        <v>Flood Fill</v>
      </c>
      <c r="D24">
        <f>Dane!K23</f>
        <v>0.66239361702127597</v>
      </c>
      <c r="F24" s="2" t="s">
        <v>19</v>
      </c>
      <c r="G24" s="3">
        <v>0.74696808510638302</v>
      </c>
      <c r="H24" s="3">
        <v>0.66239361702127597</v>
      </c>
      <c r="I24" s="3">
        <v>0.74457446808510597</v>
      </c>
      <c r="J24" s="3">
        <v>0.80702127659574396</v>
      </c>
      <c r="K24" s="3">
        <v>0.71845744680850998</v>
      </c>
    </row>
    <row r="25" spans="1:11" x14ac:dyDescent="0.3">
      <c r="A25" t="str">
        <f>Dane!B24</f>
        <v>EMNIST-Balanced</v>
      </c>
      <c r="B25" t="str">
        <f>Dane!C24</f>
        <v>K-Nearest Neighbors</v>
      </c>
      <c r="C25" t="str">
        <f>Dane!D24</f>
        <v>LDA</v>
      </c>
      <c r="D25">
        <f>Dane!K24</f>
        <v>0.74457446808510597</v>
      </c>
      <c r="F25" s="2" t="s">
        <v>22</v>
      </c>
      <c r="G25" s="3">
        <v>0.80053191489361697</v>
      </c>
      <c r="H25" s="3">
        <v>0.75952127659574398</v>
      </c>
      <c r="I25" s="3">
        <v>0.766436170212766</v>
      </c>
      <c r="J25" s="3">
        <v>0.82356382978723397</v>
      </c>
      <c r="K25" s="3">
        <v>0.71478723404255295</v>
      </c>
    </row>
    <row r="26" spans="1:11" x14ac:dyDescent="0.3">
      <c r="A26" t="str">
        <f>Dane!B25</f>
        <v>EMNIST-Balanced</v>
      </c>
      <c r="B26" t="str">
        <f>Dane!C25</f>
        <v>K-Nearest Neighbors</v>
      </c>
      <c r="C26" t="str">
        <f>Dane!D25</f>
        <v>PCA</v>
      </c>
      <c r="D26">
        <f>Dane!K25</f>
        <v>0.80702127659574396</v>
      </c>
      <c r="F26" s="2" t="s">
        <v>23</v>
      </c>
      <c r="G26" s="3">
        <v>0.827234042553191</v>
      </c>
      <c r="H26" s="3">
        <v>0.71526595744680799</v>
      </c>
      <c r="I26" s="3">
        <v>0.81101063829787201</v>
      </c>
      <c r="J26" s="3">
        <v>0.85079787234042503</v>
      </c>
      <c r="K26" s="3">
        <v>0.70382978723404199</v>
      </c>
    </row>
    <row r="27" spans="1:11" x14ac:dyDescent="0.3">
      <c r="A27" t="str">
        <f>Dane!B26</f>
        <v>EMNIST-Balanced</v>
      </c>
      <c r="B27" t="str">
        <f>Dane!C26</f>
        <v>K-Nearest Neighbors</v>
      </c>
      <c r="C27" t="str">
        <f>Dane!D26</f>
        <v>UMAP</v>
      </c>
      <c r="D27">
        <f>Dane!K26</f>
        <v>0.71845744680850998</v>
      </c>
      <c r="F27" s="2" t="s">
        <v>21</v>
      </c>
      <c r="G27" s="3">
        <v>0.77367021276595704</v>
      </c>
      <c r="H27" s="3">
        <v>0.75042553191489303</v>
      </c>
      <c r="I27" s="3">
        <v>0.73856382978723401</v>
      </c>
      <c r="J27" s="3">
        <v>0.76265957446808497</v>
      </c>
      <c r="K27" s="3">
        <v>0.73941489361702095</v>
      </c>
    </row>
    <row r="28" spans="1:11" x14ac:dyDescent="0.3">
      <c r="A28" t="str">
        <f>Dane!B27</f>
        <v>EMNIST-Balanced</v>
      </c>
      <c r="B28" t="str">
        <f>Dane!C27</f>
        <v>Multi-Layer Perceptron</v>
      </c>
      <c r="C28" t="str">
        <f>Dane!D27</f>
        <v>Brak redukcji</v>
      </c>
      <c r="D28">
        <f>Dane!K27</f>
        <v>0.80053191489361697</v>
      </c>
    </row>
    <row r="29" spans="1:11" x14ac:dyDescent="0.3">
      <c r="A29" t="str">
        <f>Dane!B28</f>
        <v>EMNIST-Balanced</v>
      </c>
      <c r="B29" t="str">
        <f>Dane!C28</f>
        <v>Multi-Layer Perceptron</v>
      </c>
      <c r="C29" t="str">
        <f>Dane!D28</f>
        <v>Flood Fill</v>
      </c>
      <c r="D29">
        <f>Dane!K28</f>
        <v>0.75952127659574398</v>
      </c>
    </row>
    <row r="30" spans="1:11" x14ac:dyDescent="0.3">
      <c r="A30" t="str">
        <f>Dane!B29</f>
        <v>EMNIST-Balanced</v>
      </c>
      <c r="B30" t="str">
        <f>Dane!C29</f>
        <v>Multi-Layer Perceptron</v>
      </c>
      <c r="C30" t="str">
        <f>Dane!D29</f>
        <v>LDA</v>
      </c>
      <c r="D30">
        <f>Dane!K29</f>
        <v>0.766436170212766</v>
      </c>
    </row>
    <row r="31" spans="1:11" x14ac:dyDescent="0.3">
      <c r="A31" t="str">
        <f>Dane!B30</f>
        <v>EMNIST-Balanced</v>
      </c>
      <c r="B31" t="str">
        <f>Dane!C30</f>
        <v>Multi-Layer Perceptron</v>
      </c>
      <c r="C31" t="str">
        <f>Dane!D30</f>
        <v>PCA</v>
      </c>
      <c r="D31">
        <f>Dane!K30</f>
        <v>0.82356382978723397</v>
      </c>
    </row>
    <row r="32" spans="1:11" x14ac:dyDescent="0.3">
      <c r="A32" t="str">
        <f>Dane!B31</f>
        <v>EMNIST-Balanced</v>
      </c>
      <c r="B32" t="str">
        <f>Dane!C31</f>
        <v>Multi-Layer Perceptron</v>
      </c>
      <c r="C32" t="str">
        <f>Dane!D31</f>
        <v>UMAP</v>
      </c>
      <c r="D32">
        <f>Dane!K31</f>
        <v>0.71478723404255295</v>
      </c>
    </row>
    <row r="33" spans="1:11" x14ac:dyDescent="0.3">
      <c r="A33" t="str">
        <f>Dane!B32</f>
        <v>EMNIST-Balanced</v>
      </c>
      <c r="B33" t="str">
        <f>Dane!C32</f>
        <v>Support Vector Machine</v>
      </c>
      <c r="C33" t="str">
        <f>Dane!D32</f>
        <v>Brak redukcji</v>
      </c>
      <c r="D33">
        <f>Dane!K32</f>
        <v>0.827234042553191</v>
      </c>
    </row>
    <row r="34" spans="1:11" x14ac:dyDescent="0.3">
      <c r="A34" t="str">
        <f>Dane!B33</f>
        <v>EMNIST-Balanced</v>
      </c>
      <c r="B34" t="str">
        <f>Dane!C33</f>
        <v>Support Vector Machine</v>
      </c>
      <c r="C34" t="str">
        <f>Dane!D33</f>
        <v>Flood Fill</v>
      </c>
      <c r="D34">
        <f>Dane!K33</f>
        <v>0.71526595744680799</v>
      </c>
    </row>
    <row r="35" spans="1:11" x14ac:dyDescent="0.3">
      <c r="A35" t="str">
        <f>Dane!B34</f>
        <v>EMNIST-Balanced</v>
      </c>
      <c r="B35" t="str">
        <f>Dane!C34</f>
        <v>Support Vector Machine</v>
      </c>
      <c r="C35" t="str">
        <f>Dane!D34</f>
        <v>LDA</v>
      </c>
      <c r="D35">
        <f>Dane!K34</f>
        <v>0.81101063829787201</v>
      </c>
    </row>
    <row r="36" spans="1:11" x14ac:dyDescent="0.3">
      <c r="A36" t="str">
        <f>Dane!B35</f>
        <v>EMNIST-Balanced</v>
      </c>
      <c r="B36" t="str">
        <f>Dane!C35</f>
        <v>Support Vector Machine</v>
      </c>
      <c r="C36" t="str">
        <f>Dane!D35</f>
        <v>PCA</v>
      </c>
      <c r="D36">
        <f>Dane!K35</f>
        <v>0.85079787234042503</v>
      </c>
    </row>
    <row r="37" spans="1:11" x14ac:dyDescent="0.3">
      <c r="A37" t="str">
        <f>Dane!B36</f>
        <v>EMNIST-Balanced</v>
      </c>
      <c r="B37" t="str">
        <f>Dane!C36</f>
        <v>Support Vector Machine</v>
      </c>
      <c r="C37" t="str">
        <f>Dane!D36</f>
        <v>UMAP</v>
      </c>
      <c r="D37">
        <f>Dane!K36</f>
        <v>0.70382978723404199</v>
      </c>
    </row>
    <row r="38" spans="1:11" x14ac:dyDescent="0.3">
      <c r="A38" t="str">
        <f>Dane!B37</f>
        <v>EMNIST-Balanced</v>
      </c>
      <c r="B38" t="str">
        <f>Dane!C37</f>
        <v>XGBoost</v>
      </c>
      <c r="C38" t="str">
        <f>Dane!D37</f>
        <v>Brak redukcji</v>
      </c>
      <c r="D38">
        <f>Dane!K37</f>
        <v>0.77367021276595704</v>
      </c>
    </row>
    <row r="39" spans="1:11" x14ac:dyDescent="0.3">
      <c r="A39" t="str">
        <f>Dane!B38</f>
        <v>EMNIST-Balanced</v>
      </c>
      <c r="B39" t="str">
        <f>Dane!C38</f>
        <v>XGBoost</v>
      </c>
      <c r="C39" t="str">
        <f>Dane!D38</f>
        <v>Flood Fill</v>
      </c>
      <c r="D39">
        <f>Dane!K38</f>
        <v>0.75042553191489303</v>
      </c>
    </row>
    <row r="40" spans="1:11" x14ac:dyDescent="0.3">
      <c r="A40" t="str">
        <f>Dane!B39</f>
        <v>EMNIST-Balanced</v>
      </c>
      <c r="B40" t="str">
        <f>Dane!C39</f>
        <v>XGBoost</v>
      </c>
      <c r="C40" t="str">
        <f>Dane!D39</f>
        <v>LDA</v>
      </c>
      <c r="D40">
        <f>Dane!K39</f>
        <v>0.73856382978723401</v>
      </c>
    </row>
    <row r="41" spans="1:11" x14ac:dyDescent="0.3">
      <c r="A41" t="str">
        <f>Dane!B40</f>
        <v>EMNIST-Balanced</v>
      </c>
      <c r="B41" t="str">
        <f>Dane!C40</f>
        <v>XGBoost</v>
      </c>
      <c r="C41" t="str">
        <f>Dane!D40</f>
        <v>PCA</v>
      </c>
      <c r="D41">
        <f>Dane!K40</f>
        <v>0.76265957446808497</v>
      </c>
    </row>
    <row r="42" spans="1:11" x14ac:dyDescent="0.3">
      <c r="A42" t="str">
        <f>Dane!B41</f>
        <v>EMNIST-Balanced</v>
      </c>
      <c r="B42" t="str">
        <f>Dane!C41</f>
        <v>XGBoost</v>
      </c>
      <c r="C42" t="str">
        <f>Dane!D41</f>
        <v>UMAP</v>
      </c>
      <c r="D42">
        <f>Dane!K41</f>
        <v>0.73941489361702095</v>
      </c>
      <c r="F42" s="1" t="s">
        <v>37</v>
      </c>
      <c r="G42" s="1" t="s">
        <v>35</v>
      </c>
    </row>
    <row r="43" spans="1:11" x14ac:dyDescent="0.3">
      <c r="A43" t="s">
        <v>32</v>
      </c>
      <c r="B43" t="s">
        <v>38</v>
      </c>
      <c r="C43" t="s">
        <v>33</v>
      </c>
      <c r="D43" t="s">
        <v>34</v>
      </c>
      <c r="F43" s="1" t="s">
        <v>36</v>
      </c>
      <c r="G43" t="s">
        <v>20</v>
      </c>
      <c r="H43" t="s">
        <v>26</v>
      </c>
      <c r="I43" t="s">
        <v>25</v>
      </c>
      <c r="J43" t="s">
        <v>24</v>
      </c>
      <c r="K43" t="s">
        <v>39</v>
      </c>
    </row>
    <row r="44" spans="1:11" x14ac:dyDescent="0.3">
      <c r="A44" t="str">
        <f>Dane!B42</f>
        <v>EMNIST-Digits</v>
      </c>
      <c r="B44" t="str">
        <f>Dane!C42</f>
        <v>K-Nearest Neighbors</v>
      </c>
      <c r="C44" t="str">
        <f>Dane!D42</f>
        <v>Brak redukcji</v>
      </c>
      <c r="D44">
        <f>Dane!K42</f>
        <v>0.97322500000000001</v>
      </c>
      <c r="F44" s="2" t="s">
        <v>19</v>
      </c>
      <c r="G44" s="3">
        <v>0.97322500000000001</v>
      </c>
      <c r="H44" s="3">
        <v>0.92044999999999999</v>
      </c>
      <c r="I44" s="3">
        <v>0.93894999999999995</v>
      </c>
      <c r="J44" s="3">
        <v>0.98670000000000002</v>
      </c>
      <c r="K44" s="3">
        <v>0.96852499999999997</v>
      </c>
    </row>
    <row r="45" spans="1:11" x14ac:dyDescent="0.3">
      <c r="A45" t="str">
        <f>Dane!B43</f>
        <v>EMNIST-Digits</v>
      </c>
      <c r="B45" t="str">
        <f>Dane!C43</f>
        <v>K-Nearest Neighbors</v>
      </c>
      <c r="C45" t="str">
        <f>Dane!D43</f>
        <v>Flood Fill</v>
      </c>
      <c r="D45">
        <f>Dane!K43</f>
        <v>0.92044999999999999</v>
      </c>
      <c r="F45" s="2" t="s">
        <v>22</v>
      </c>
      <c r="G45" s="3">
        <v>0.98824999999999996</v>
      </c>
      <c r="H45" s="3">
        <v>0.96012500000000001</v>
      </c>
      <c r="I45" s="3">
        <v>0.93200000000000005</v>
      </c>
      <c r="J45" s="3">
        <v>0.99027500000000002</v>
      </c>
      <c r="K45" s="3">
        <v>0.96847499999999997</v>
      </c>
    </row>
    <row r="46" spans="1:11" x14ac:dyDescent="0.3">
      <c r="A46" t="str">
        <f>Dane!B44</f>
        <v>EMNIST-Digits</v>
      </c>
      <c r="B46" t="str">
        <f>Dane!C44</f>
        <v>K-Nearest Neighbors</v>
      </c>
      <c r="C46" t="str">
        <f>Dane!D44</f>
        <v>LDA</v>
      </c>
      <c r="D46">
        <f>Dane!K44</f>
        <v>0.93894999999999995</v>
      </c>
      <c r="F46" s="2" t="s">
        <v>23</v>
      </c>
      <c r="G46" s="3">
        <v>0.98722500000000002</v>
      </c>
      <c r="H46" s="3">
        <v>0.93684999999999996</v>
      </c>
      <c r="I46" s="3">
        <v>0.94155</v>
      </c>
      <c r="J46" s="3">
        <v>0.99065000000000003</v>
      </c>
      <c r="K46" s="3">
        <v>0.96814999999999996</v>
      </c>
    </row>
    <row r="47" spans="1:11" x14ac:dyDescent="0.3">
      <c r="A47" t="str">
        <f>Dane!B45</f>
        <v>EMNIST-Digits</v>
      </c>
      <c r="B47" t="str">
        <f>Dane!C45</f>
        <v>K-Nearest Neighbors</v>
      </c>
      <c r="C47" t="str">
        <f>Dane!D45</f>
        <v>PCA</v>
      </c>
      <c r="D47">
        <f>Dane!K45</f>
        <v>0.98670000000000002</v>
      </c>
      <c r="F47" s="2" t="s">
        <v>21</v>
      </c>
      <c r="G47" s="3">
        <v>0.97542499999999999</v>
      </c>
      <c r="H47" s="3">
        <v>0.94277500000000003</v>
      </c>
      <c r="I47" s="3">
        <v>0.93394999999999995</v>
      </c>
      <c r="J47" s="3">
        <v>0.96445000000000003</v>
      </c>
      <c r="K47" s="3">
        <v>0.96892500000000004</v>
      </c>
    </row>
    <row r="48" spans="1:11" x14ac:dyDescent="0.3">
      <c r="A48" t="str">
        <f>Dane!B46</f>
        <v>EMNIST-Digits</v>
      </c>
      <c r="B48" t="str">
        <f>Dane!C46</f>
        <v>K-Nearest Neighbors</v>
      </c>
      <c r="C48" t="str">
        <f>Dane!D46</f>
        <v>UMAP</v>
      </c>
      <c r="D48">
        <f>Dane!K46</f>
        <v>0.96852499999999997</v>
      </c>
    </row>
    <row r="49" spans="1:11" x14ac:dyDescent="0.3">
      <c r="A49" t="str">
        <f>Dane!B47</f>
        <v>EMNIST-Digits</v>
      </c>
      <c r="B49" t="str">
        <f>Dane!C47</f>
        <v>Multi-Layer Perceptron</v>
      </c>
      <c r="C49" t="str">
        <f>Dane!D47</f>
        <v>Brak redukcji</v>
      </c>
      <c r="D49">
        <f>Dane!K47</f>
        <v>0.98824999999999996</v>
      </c>
    </row>
    <row r="50" spans="1:11" x14ac:dyDescent="0.3">
      <c r="A50" t="str">
        <f>Dane!B48</f>
        <v>EMNIST-Digits</v>
      </c>
      <c r="B50" t="str">
        <f>Dane!C48</f>
        <v>Multi-Layer Perceptron</v>
      </c>
      <c r="C50" t="str">
        <f>Dane!D48</f>
        <v>Flood Fill</v>
      </c>
      <c r="D50">
        <f>Dane!K48</f>
        <v>0.96012500000000001</v>
      </c>
    </row>
    <row r="51" spans="1:11" x14ac:dyDescent="0.3">
      <c r="A51" t="str">
        <f>Dane!B49</f>
        <v>EMNIST-Digits</v>
      </c>
      <c r="B51" t="str">
        <f>Dane!C49</f>
        <v>Multi-Layer Perceptron</v>
      </c>
      <c r="C51" t="str">
        <f>Dane!D49</f>
        <v>LDA</v>
      </c>
      <c r="D51">
        <f>Dane!K49</f>
        <v>0.93200000000000005</v>
      </c>
    </row>
    <row r="52" spans="1:11" x14ac:dyDescent="0.3">
      <c r="A52" t="str">
        <f>Dane!B50</f>
        <v>EMNIST-Digits</v>
      </c>
      <c r="B52" t="str">
        <f>Dane!C50</f>
        <v>Multi-Layer Perceptron</v>
      </c>
      <c r="C52" t="str">
        <f>Dane!D50</f>
        <v>PCA</v>
      </c>
      <c r="D52">
        <f>Dane!K50</f>
        <v>0.99027500000000002</v>
      </c>
    </row>
    <row r="53" spans="1:11" x14ac:dyDescent="0.3">
      <c r="A53" t="str">
        <f>Dane!B51</f>
        <v>EMNIST-Digits</v>
      </c>
      <c r="B53" t="str">
        <f>Dane!C51</f>
        <v>Multi-Layer Perceptron</v>
      </c>
      <c r="C53" t="str">
        <f>Dane!D51</f>
        <v>UMAP</v>
      </c>
      <c r="D53">
        <f>Dane!K51</f>
        <v>0.96847499999999997</v>
      </c>
    </row>
    <row r="54" spans="1:11" x14ac:dyDescent="0.3">
      <c r="A54" t="str">
        <f>Dane!B52</f>
        <v>EMNIST-Digits</v>
      </c>
      <c r="B54" t="str">
        <f>Dane!C52</f>
        <v>Support Vector Machine</v>
      </c>
      <c r="C54" t="str">
        <f>Dane!D52</f>
        <v>Brak redukcji</v>
      </c>
      <c r="D54">
        <f>Dane!K52</f>
        <v>0.98722500000000002</v>
      </c>
    </row>
    <row r="55" spans="1:11" x14ac:dyDescent="0.3">
      <c r="A55" t="str">
        <f>Dane!B53</f>
        <v>EMNIST-Digits</v>
      </c>
      <c r="B55" t="str">
        <f>Dane!C53</f>
        <v>Support Vector Machine</v>
      </c>
      <c r="C55" t="str">
        <f>Dane!D53</f>
        <v>Flood Fill</v>
      </c>
      <c r="D55">
        <f>Dane!K53</f>
        <v>0.93684999999999996</v>
      </c>
    </row>
    <row r="56" spans="1:11" x14ac:dyDescent="0.3">
      <c r="A56" t="str">
        <f>Dane!B54</f>
        <v>EMNIST-Digits</v>
      </c>
      <c r="B56" t="str">
        <f>Dane!C54</f>
        <v>Support Vector Machine</v>
      </c>
      <c r="C56" t="str">
        <f>Dane!D54</f>
        <v>LDA</v>
      </c>
      <c r="D56">
        <f>Dane!K54</f>
        <v>0.94155</v>
      </c>
    </row>
    <row r="57" spans="1:11" x14ac:dyDescent="0.3">
      <c r="A57" t="str">
        <f>Dane!B55</f>
        <v>EMNIST-Digits</v>
      </c>
      <c r="B57" t="str">
        <f>Dane!C55</f>
        <v>Support Vector Machine</v>
      </c>
      <c r="C57" t="str">
        <f>Dane!D55</f>
        <v>PCA</v>
      </c>
      <c r="D57">
        <f>Dane!K55</f>
        <v>0.99065000000000003</v>
      </c>
    </row>
    <row r="58" spans="1:11" x14ac:dyDescent="0.3">
      <c r="A58" t="str">
        <f>Dane!B56</f>
        <v>EMNIST-Digits</v>
      </c>
      <c r="B58" t="str">
        <f>Dane!C56</f>
        <v>Support Vector Machine</v>
      </c>
      <c r="C58" t="str">
        <f>Dane!D56</f>
        <v>UMAP</v>
      </c>
      <c r="D58">
        <f>Dane!K56</f>
        <v>0.96814999999999996</v>
      </c>
    </row>
    <row r="59" spans="1:11" x14ac:dyDescent="0.3">
      <c r="A59" t="str">
        <f>Dane!B57</f>
        <v>EMNIST-Digits</v>
      </c>
      <c r="B59" t="str">
        <f>Dane!C57</f>
        <v>XGBoost</v>
      </c>
      <c r="C59" t="str">
        <f>Dane!D57</f>
        <v>Brak redukcji</v>
      </c>
      <c r="D59">
        <f>Dane!K57</f>
        <v>0.97542499999999999</v>
      </c>
    </row>
    <row r="60" spans="1:11" x14ac:dyDescent="0.3">
      <c r="A60" t="str">
        <f>Dane!B58</f>
        <v>EMNIST-Digits</v>
      </c>
      <c r="B60" t="str">
        <f>Dane!C58</f>
        <v>XGBoost</v>
      </c>
      <c r="C60" t="str">
        <f>Dane!D58</f>
        <v>Flood Fill</v>
      </c>
      <c r="D60">
        <f>Dane!K58</f>
        <v>0.94277500000000003</v>
      </c>
    </row>
    <row r="61" spans="1:11" x14ac:dyDescent="0.3">
      <c r="A61" t="str">
        <f>Dane!B59</f>
        <v>EMNIST-Digits</v>
      </c>
      <c r="B61" t="str">
        <f>Dane!C59</f>
        <v>XGBoost</v>
      </c>
      <c r="C61" t="str">
        <f>Dane!D59</f>
        <v>LDA</v>
      </c>
      <c r="D61">
        <f>Dane!K59</f>
        <v>0.93394999999999995</v>
      </c>
    </row>
    <row r="62" spans="1:11" x14ac:dyDescent="0.3">
      <c r="A62" t="str">
        <f>Dane!B60</f>
        <v>EMNIST-Digits</v>
      </c>
      <c r="B62" t="str">
        <f>Dane!C60</f>
        <v>XGBoost</v>
      </c>
      <c r="C62" t="str">
        <f>Dane!D60</f>
        <v>PCA</v>
      </c>
      <c r="D62">
        <f>Dane!K60</f>
        <v>0.96445000000000003</v>
      </c>
      <c r="F62" s="1" t="s">
        <v>37</v>
      </c>
      <c r="G62" s="1" t="s">
        <v>35</v>
      </c>
    </row>
    <row r="63" spans="1:11" x14ac:dyDescent="0.3">
      <c r="A63" t="str">
        <f>Dane!B61</f>
        <v>EMNIST-Digits</v>
      </c>
      <c r="B63" t="str">
        <f>Dane!C61</f>
        <v>XGBoost</v>
      </c>
      <c r="C63" t="str">
        <f>Dane!D61</f>
        <v>UMAP</v>
      </c>
      <c r="D63">
        <f>Dane!K61</f>
        <v>0.96892500000000004</v>
      </c>
      <c r="F63" s="1" t="s">
        <v>36</v>
      </c>
      <c r="G63" t="s">
        <v>20</v>
      </c>
      <c r="H63" t="s">
        <v>26</v>
      </c>
      <c r="I63" t="s">
        <v>25</v>
      </c>
      <c r="J63" t="s">
        <v>24</v>
      </c>
      <c r="K63" t="s">
        <v>39</v>
      </c>
    </row>
    <row r="64" spans="1:11" x14ac:dyDescent="0.3">
      <c r="A64" t="s">
        <v>32</v>
      </c>
      <c r="B64" t="s">
        <v>38</v>
      </c>
      <c r="C64" t="s">
        <v>33</v>
      </c>
      <c r="D64" t="s">
        <v>34</v>
      </c>
      <c r="F64" s="2" t="s">
        <v>19</v>
      </c>
      <c r="G64" s="3">
        <v>0.80249999999999999</v>
      </c>
      <c r="H64" s="3">
        <v>0.7984</v>
      </c>
      <c r="I64" s="3">
        <v>0.83260000000000001</v>
      </c>
      <c r="J64" s="3">
        <v>0.8579</v>
      </c>
      <c r="K64" s="3">
        <v>0.80630000000000002</v>
      </c>
    </row>
    <row r="65" spans="1:11" x14ac:dyDescent="0.3">
      <c r="A65" t="str">
        <f>Dane!B62</f>
        <v>Fashion-MNIST</v>
      </c>
      <c r="B65" t="str">
        <f>Dane!C62</f>
        <v>K-Nearest Neighbors</v>
      </c>
      <c r="C65" t="str">
        <f>Dane!D62</f>
        <v>Brak redukcji</v>
      </c>
      <c r="D65">
        <f>Dane!K62</f>
        <v>0.80249999999999999</v>
      </c>
      <c r="F65" s="2" t="s">
        <v>22</v>
      </c>
      <c r="G65" s="3">
        <v>0.84760000000000002</v>
      </c>
      <c r="H65" s="3">
        <v>0.82099999999999995</v>
      </c>
      <c r="I65" s="3">
        <v>0.80869999999999997</v>
      </c>
      <c r="J65" s="3">
        <v>0.88400000000000001</v>
      </c>
      <c r="K65" s="3">
        <v>0.79900000000000004</v>
      </c>
    </row>
    <row r="66" spans="1:11" x14ac:dyDescent="0.3">
      <c r="A66" t="str">
        <f>Dane!B63</f>
        <v>Fashion-MNIST</v>
      </c>
      <c r="B66" t="str">
        <f>Dane!C63</f>
        <v>K-Nearest Neighbors</v>
      </c>
      <c r="C66" t="str">
        <f>Dane!D63</f>
        <v>Flood Fill</v>
      </c>
      <c r="D66">
        <f>Dane!K63</f>
        <v>0.7984</v>
      </c>
      <c r="F66" s="2" t="s">
        <v>23</v>
      </c>
      <c r="G66" s="3">
        <v>0.85460000000000003</v>
      </c>
      <c r="H66" s="3">
        <v>0.77810000000000001</v>
      </c>
      <c r="I66" s="3">
        <v>0.84030000000000005</v>
      </c>
      <c r="J66" s="3">
        <v>0.88060000000000005</v>
      </c>
      <c r="K66" s="3">
        <v>0.77290000000000003</v>
      </c>
    </row>
    <row r="67" spans="1:11" x14ac:dyDescent="0.3">
      <c r="A67" t="str">
        <f>Dane!B64</f>
        <v>Fashion-MNIST</v>
      </c>
      <c r="B67" t="str">
        <f>Dane!C64</f>
        <v>K-Nearest Neighbors</v>
      </c>
      <c r="C67" t="str">
        <f>Dane!D64</f>
        <v>LDA</v>
      </c>
      <c r="D67">
        <f>Dane!K64</f>
        <v>0.83260000000000001</v>
      </c>
      <c r="F67" s="2" t="s">
        <v>21</v>
      </c>
      <c r="G67" s="3">
        <v>0.83879999999999999</v>
      </c>
      <c r="H67" s="3">
        <v>0.82599999999999996</v>
      </c>
      <c r="I67" s="3">
        <v>0.83950000000000002</v>
      </c>
      <c r="J67" s="3">
        <v>0.86890000000000001</v>
      </c>
      <c r="K67" s="3">
        <v>0.82840000000000003</v>
      </c>
    </row>
    <row r="68" spans="1:11" x14ac:dyDescent="0.3">
      <c r="A68" t="str">
        <f>Dane!B65</f>
        <v>Fashion-MNIST</v>
      </c>
      <c r="B68" t="str">
        <f>Dane!C65</f>
        <v>K-Nearest Neighbors</v>
      </c>
      <c r="C68" t="str">
        <f>Dane!D65</f>
        <v>PCA</v>
      </c>
      <c r="D68">
        <f>Dane!K65</f>
        <v>0.8579</v>
      </c>
    </row>
    <row r="69" spans="1:11" x14ac:dyDescent="0.3">
      <c r="A69" t="str">
        <f>Dane!B66</f>
        <v>Fashion-MNIST</v>
      </c>
      <c r="B69" t="str">
        <f>Dane!C66</f>
        <v>K-Nearest Neighbors</v>
      </c>
      <c r="C69" t="str">
        <f>Dane!D66</f>
        <v>UMAP</v>
      </c>
      <c r="D69">
        <f>Dane!K66</f>
        <v>0.80630000000000002</v>
      </c>
    </row>
    <row r="70" spans="1:11" x14ac:dyDescent="0.3">
      <c r="A70" t="str">
        <f>Dane!B67</f>
        <v>Fashion-MNIST</v>
      </c>
      <c r="B70" t="str">
        <f>Dane!C67</f>
        <v>Multi-Layer Perceptron</v>
      </c>
      <c r="C70" t="str">
        <f>Dane!D67</f>
        <v>Brak redukcji</v>
      </c>
      <c r="D70">
        <f>Dane!K67</f>
        <v>0.84760000000000002</v>
      </c>
    </row>
    <row r="71" spans="1:11" x14ac:dyDescent="0.3">
      <c r="A71" t="str">
        <f>Dane!B68</f>
        <v>Fashion-MNIST</v>
      </c>
      <c r="B71" t="str">
        <f>Dane!C68</f>
        <v>Multi-Layer Perceptron</v>
      </c>
      <c r="C71" t="str">
        <f>Dane!D68</f>
        <v>Flood Fill</v>
      </c>
      <c r="D71">
        <f>Dane!K68</f>
        <v>0.82099999999999995</v>
      </c>
    </row>
    <row r="72" spans="1:11" x14ac:dyDescent="0.3">
      <c r="A72" t="str">
        <f>Dane!B69</f>
        <v>Fashion-MNIST</v>
      </c>
      <c r="B72" t="str">
        <f>Dane!C69</f>
        <v>Multi-Layer Perceptron</v>
      </c>
      <c r="C72" t="str">
        <f>Dane!D69</f>
        <v>LDA</v>
      </c>
      <c r="D72">
        <f>Dane!K69</f>
        <v>0.80869999999999997</v>
      </c>
    </row>
    <row r="73" spans="1:11" x14ac:dyDescent="0.3">
      <c r="A73" t="str">
        <f>Dane!B70</f>
        <v>Fashion-MNIST</v>
      </c>
      <c r="B73" t="str">
        <f>Dane!C70</f>
        <v>Multi-Layer Perceptron</v>
      </c>
      <c r="C73" t="str">
        <f>Dane!D70</f>
        <v>PCA</v>
      </c>
      <c r="D73">
        <f>Dane!K70</f>
        <v>0.88400000000000001</v>
      </c>
    </row>
    <row r="74" spans="1:11" x14ac:dyDescent="0.3">
      <c r="A74" t="str">
        <f>Dane!B71</f>
        <v>Fashion-MNIST</v>
      </c>
      <c r="B74" t="str">
        <f>Dane!C71</f>
        <v>Multi-Layer Perceptron</v>
      </c>
      <c r="C74" t="str">
        <f>Dane!D71</f>
        <v>UMAP</v>
      </c>
      <c r="D74">
        <f>Dane!K71</f>
        <v>0.79900000000000004</v>
      </c>
    </row>
    <row r="75" spans="1:11" x14ac:dyDescent="0.3">
      <c r="A75" t="str">
        <f>Dane!B72</f>
        <v>Fashion-MNIST</v>
      </c>
      <c r="B75" t="str">
        <f>Dane!C72</f>
        <v>Support Vector Machine</v>
      </c>
      <c r="C75" t="str">
        <f>Dane!D72</f>
        <v>Brak redukcji</v>
      </c>
      <c r="D75">
        <f>Dane!K72</f>
        <v>0.85460000000000003</v>
      </c>
    </row>
    <row r="76" spans="1:11" x14ac:dyDescent="0.3">
      <c r="A76" t="str">
        <f>Dane!B73</f>
        <v>Fashion-MNIST</v>
      </c>
      <c r="B76" t="str">
        <f>Dane!C73</f>
        <v>Support Vector Machine</v>
      </c>
      <c r="C76" t="str">
        <f>Dane!D73</f>
        <v>Flood Fill</v>
      </c>
      <c r="D76">
        <f>Dane!K73</f>
        <v>0.77810000000000001</v>
      </c>
    </row>
    <row r="77" spans="1:11" x14ac:dyDescent="0.3">
      <c r="A77" t="str">
        <f>Dane!B74</f>
        <v>Fashion-MNIST</v>
      </c>
      <c r="B77" t="str">
        <f>Dane!C74</f>
        <v>Support Vector Machine</v>
      </c>
      <c r="C77" t="str">
        <f>Dane!D74</f>
        <v>LDA</v>
      </c>
      <c r="D77">
        <f>Dane!K74</f>
        <v>0.84030000000000005</v>
      </c>
    </row>
    <row r="78" spans="1:11" x14ac:dyDescent="0.3">
      <c r="A78" t="str">
        <f>Dane!B75</f>
        <v>Fashion-MNIST</v>
      </c>
      <c r="B78" t="str">
        <f>Dane!C75</f>
        <v>Support Vector Machine</v>
      </c>
      <c r="C78" t="str">
        <f>Dane!D75</f>
        <v>PCA</v>
      </c>
      <c r="D78">
        <f>Dane!K75</f>
        <v>0.88060000000000005</v>
      </c>
    </row>
    <row r="79" spans="1:11" x14ac:dyDescent="0.3">
      <c r="A79" t="str">
        <f>Dane!B76</f>
        <v>Fashion-MNIST</v>
      </c>
      <c r="B79" t="str">
        <f>Dane!C76</f>
        <v>Support Vector Machine</v>
      </c>
      <c r="C79" t="str">
        <f>Dane!D76</f>
        <v>UMAP</v>
      </c>
      <c r="D79">
        <f>Dane!K76</f>
        <v>0.77290000000000003</v>
      </c>
    </row>
    <row r="80" spans="1:11" x14ac:dyDescent="0.3">
      <c r="A80" t="str">
        <f>Dane!B77</f>
        <v>Fashion-MNIST</v>
      </c>
      <c r="B80" t="str">
        <f>Dane!C77</f>
        <v>XGBoost</v>
      </c>
      <c r="C80" t="str">
        <f>Dane!D77</f>
        <v>Brak redukcji</v>
      </c>
      <c r="D80">
        <f>Dane!K77</f>
        <v>0.83879999999999999</v>
      </c>
    </row>
    <row r="81" spans="1:11" x14ac:dyDescent="0.3">
      <c r="A81" t="str">
        <f>Dane!B78</f>
        <v>Fashion-MNIST</v>
      </c>
      <c r="B81" t="str">
        <f>Dane!C78</f>
        <v>XGBoost</v>
      </c>
      <c r="C81" t="str">
        <f>Dane!D78</f>
        <v>Flood Fill</v>
      </c>
      <c r="D81">
        <f>Dane!K78</f>
        <v>0.82599999999999996</v>
      </c>
    </row>
    <row r="82" spans="1:11" x14ac:dyDescent="0.3">
      <c r="A82" t="str">
        <f>Dane!B79</f>
        <v>Fashion-MNIST</v>
      </c>
      <c r="B82" t="str">
        <f>Dane!C79</f>
        <v>XGBoost</v>
      </c>
      <c r="C82" t="str">
        <f>Dane!D79</f>
        <v>LDA</v>
      </c>
      <c r="D82">
        <f>Dane!K79</f>
        <v>0.83950000000000002</v>
      </c>
      <c r="F82" s="1" t="s">
        <v>37</v>
      </c>
      <c r="G82" s="1" t="s">
        <v>35</v>
      </c>
    </row>
    <row r="83" spans="1:11" x14ac:dyDescent="0.3">
      <c r="A83" t="str">
        <f>Dane!B80</f>
        <v>Fashion-MNIST</v>
      </c>
      <c r="B83" t="str">
        <f>Dane!C80</f>
        <v>XGBoost</v>
      </c>
      <c r="C83" t="str">
        <f>Dane!D80</f>
        <v>PCA</v>
      </c>
      <c r="D83">
        <f>Dane!K80</f>
        <v>0.86890000000000001</v>
      </c>
      <c r="F83" s="1" t="s">
        <v>36</v>
      </c>
      <c r="G83" t="s">
        <v>20</v>
      </c>
      <c r="H83" t="s">
        <v>26</v>
      </c>
      <c r="I83" t="s">
        <v>25</v>
      </c>
      <c r="J83" t="s">
        <v>24</v>
      </c>
      <c r="K83" t="s">
        <v>39</v>
      </c>
    </row>
    <row r="84" spans="1:11" x14ac:dyDescent="0.3">
      <c r="A84" t="str">
        <f>Dane!B81</f>
        <v>Fashion-MNIST</v>
      </c>
      <c r="B84" t="str">
        <f>Dane!C81</f>
        <v>XGBoost</v>
      </c>
      <c r="C84" t="str">
        <f>Dane!D81</f>
        <v>UMAP</v>
      </c>
      <c r="D84">
        <f>Dane!K81</f>
        <v>0.82840000000000003</v>
      </c>
      <c r="F84" s="2" t="s">
        <v>19</v>
      </c>
      <c r="G84" s="3">
        <v>0.95760000000000001</v>
      </c>
      <c r="H84" s="3">
        <v>0.95820000000000005</v>
      </c>
      <c r="I84" s="3">
        <v>0.91449999999999998</v>
      </c>
      <c r="J84" s="3">
        <v>0.97440000000000004</v>
      </c>
      <c r="K84" s="3">
        <v>0.95489999999999997</v>
      </c>
    </row>
    <row r="85" spans="1:11" x14ac:dyDescent="0.3">
      <c r="A85" t="s">
        <v>32</v>
      </c>
      <c r="B85" t="s">
        <v>38</v>
      </c>
      <c r="C85" t="s">
        <v>33</v>
      </c>
      <c r="D85" t="s">
        <v>34</v>
      </c>
      <c r="F85" s="2" t="s">
        <v>22</v>
      </c>
      <c r="G85" s="3">
        <v>0.97399999999999998</v>
      </c>
      <c r="H85" s="3">
        <v>0.9778</v>
      </c>
      <c r="I85" s="3">
        <v>0.90659999999999996</v>
      </c>
      <c r="J85" s="3">
        <v>0.98440000000000005</v>
      </c>
      <c r="K85" s="3">
        <v>0.95409999999999995</v>
      </c>
    </row>
    <row r="86" spans="1:11" x14ac:dyDescent="0.3">
      <c r="A86" t="str">
        <f>Dane!B82</f>
        <v>MNIST</v>
      </c>
      <c r="B86" t="str">
        <f>Dane!C82</f>
        <v>K-Nearest Neighbors</v>
      </c>
      <c r="C86" t="str">
        <f>Dane!D82</f>
        <v>Brak redukcji</v>
      </c>
      <c r="D86">
        <f>Dane!K82</f>
        <v>0.95760000000000001</v>
      </c>
      <c r="F86" s="2" t="s">
        <v>23</v>
      </c>
      <c r="G86" s="3">
        <v>0.97689999999999999</v>
      </c>
      <c r="H86" s="3">
        <v>0.97160000000000002</v>
      </c>
      <c r="I86" s="3">
        <v>0.92149999999999999</v>
      </c>
      <c r="J86" s="3">
        <v>0.98280000000000001</v>
      </c>
      <c r="K86" s="3">
        <v>0.95409999999999995</v>
      </c>
    </row>
    <row r="87" spans="1:11" x14ac:dyDescent="0.3">
      <c r="A87" t="str">
        <f>Dane!B83</f>
        <v>MNIST</v>
      </c>
      <c r="B87" t="str">
        <f>Dane!C83</f>
        <v>K-Nearest Neighbors</v>
      </c>
      <c r="C87" t="str">
        <f>Dane!D83</f>
        <v>Flood Fill</v>
      </c>
      <c r="D87">
        <f>Dane!K83</f>
        <v>0.95820000000000005</v>
      </c>
      <c r="F87" s="2" t="s">
        <v>21</v>
      </c>
      <c r="G87" s="3">
        <v>0.96540000000000004</v>
      </c>
      <c r="H87" s="3">
        <v>0.97570000000000001</v>
      </c>
      <c r="I87" s="3">
        <v>0.91279999999999994</v>
      </c>
      <c r="J87" s="3">
        <v>0.95509999999999995</v>
      </c>
      <c r="K87" s="3">
        <v>0.9556</v>
      </c>
    </row>
    <row r="88" spans="1:11" x14ac:dyDescent="0.3">
      <c r="A88" t="str">
        <f>Dane!B84</f>
        <v>MNIST</v>
      </c>
      <c r="B88" t="str">
        <f>Dane!C84</f>
        <v>K-Nearest Neighbors</v>
      </c>
      <c r="C88" t="str">
        <f>Dane!D84</f>
        <v>LDA</v>
      </c>
      <c r="D88">
        <f>Dane!K84</f>
        <v>0.91449999999999998</v>
      </c>
    </row>
    <row r="89" spans="1:11" x14ac:dyDescent="0.3">
      <c r="A89" t="str">
        <f>Dane!B85</f>
        <v>MNIST</v>
      </c>
      <c r="B89" t="str">
        <f>Dane!C85</f>
        <v>K-Nearest Neighbors</v>
      </c>
      <c r="C89" t="str">
        <f>Dane!D85</f>
        <v>PCA</v>
      </c>
      <c r="D89">
        <f>Dane!K85</f>
        <v>0.97440000000000004</v>
      </c>
    </row>
    <row r="90" spans="1:11" x14ac:dyDescent="0.3">
      <c r="A90" t="str">
        <f>Dane!B86</f>
        <v>MNIST</v>
      </c>
      <c r="B90" t="str">
        <f>Dane!C86</f>
        <v>K-Nearest Neighbors</v>
      </c>
      <c r="C90" t="str">
        <f>Dane!D86</f>
        <v>UMAP</v>
      </c>
      <c r="D90">
        <f>Dane!K86</f>
        <v>0.95489999999999997</v>
      </c>
    </row>
    <row r="91" spans="1:11" x14ac:dyDescent="0.3">
      <c r="A91" t="str">
        <f>Dane!B87</f>
        <v>MNIST</v>
      </c>
      <c r="B91" t="str">
        <f>Dane!C87</f>
        <v>Multi-Layer Perceptron</v>
      </c>
      <c r="C91" t="str">
        <f>Dane!D87</f>
        <v>Brak redukcji</v>
      </c>
      <c r="D91">
        <f>Dane!K87</f>
        <v>0.97399999999999998</v>
      </c>
    </row>
    <row r="92" spans="1:11" x14ac:dyDescent="0.3">
      <c r="A92" t="str">
        <f>Dane!B88</f>
        <v>MNIST</v>
      </c>
      <c r="B92" t="str">
        <f>Dane!C88</f>
        <v>Multi-Layer Perceptron</v>
      </c>
      <c r="C92" t="str">
        <f>Dane!D88</f>
        <v>Flood Fill</v>
      </c>
      <c r="D92">
        <f>Dane!K88</f>
        <v>0.9778</v>
      </c>
    </row>
    <row r="93" spans="1:11" x14ac:dyDescent="0.3">
      <c r="A93" t="str">
        <f>Dane!B89</f>
        <v>MNIST</v>
      </c>
      <c r="B93" t="str">
        <f>Dane!C89</f>
        <v>Multi-Layer Perceptron</v>
      </c>
      <c r="C93" t="str">
        <f>Dane!D89</f>
        <v>LDA</v>
      </c>
      <c r="D93">
        <f>Dane!K89</f>
        <v>0.90659999999999996</v>
      </c>
    </row>
    <row r="94" spans="1:11" x14ac:dyDescent="0.3">
      <c r="A94" t="str">
        <f>Dane!B90</f>
        <v>MNIST</v>
      </c>
      <c r="B94" t="str">
        <f>Dane!C90</f>
        <v>Multi-Layer Perceptron</v>
      </c>
      <c r="C94" t="str">
        <f>Dane!D90</f>
        <v>PCA</v>
      </c>
      <c r="D94">
        <f>Dane!K90</f>
        <v>0.98440000000000005</v>
      </c>
    </row>
    <row r="95" spans="1:11" x14ac:dyDescent="0.3">
      <c r="A95" t="str">
        <f>Dane!B91</f>
        <v>MNIST</v>
      </c>
      <c r="B95" t="str">
        <f>Dane!C91</f>
        <v>Multi-Layer Perceptron</v>
      </c>
      <c r="C95" t="str">
        <f>Dane!D91</f>
        <v>UMAP</v>
      </c>
      <c r="D95">
        <f>Dane!K91</f>
        <v>0.95409999999999995</v>
      </c>
    </row>
    <row r="96" spans="1:11" x14ac:dyDescent="0.3">
      <c r="A96" t="str">
        <f>Dane!B92</f>
        <v>MNIST</v>
      </c>
      <c r="B96" t="str">
        <f>Dane!C92</f>
        <v>Support Vector Machine</v>
      </c>
      <c r="C96" t="str">
        <f>Dane!D92</f>
        <v>Brak redukcji</v>
      </c>
      <c r="D96">
        <f>Dane!K92</f>
        <v>0.97689999999999999</v>
      </c>
    </row>
    <row r="97" spans="1:11" x14ac:dyDescent="0.3">
      <c r="A97" t="str">
        <f>Dane!B93</f>
        <v>MNIST</v>
      </c>
      <c r="B97" t="str">
        <f>Dane!C93</f>
        <v>Support Vector Machine</v>
      </c>
      <c r="C97" t="str">
        <f>Dane!D93</f>
        <v>Flood Fill</v>
      </c>
      <c r="D97">
        <f>Dane!K93</f>
        <v>0.97160000000000002</v>
      </c>
    </row>
    <row r="98" spans="1:11" x14ac:dyDescent="0.3">
      <c r="A98" t="str">
        <f>Dane!B94</f>
        <v>MNIST</v>
      </c>
      <c r="B98" t="str">
        <f>Dane!C94</f>
        <v>Support Vector Machine</v>
      </c>
      <c r="C98" t="str">
        <f>Dane!D94</f>
        <v>LDA</v>
      </c>
      <c r="D98">
        <f>Dane!K94</f>
        <v>0.92149999999999999</v>
      </c>
    </row>
    <row r="99" spans="1:11" x14ac:dyDescent="0.3">
      <c r="A99" t="str">
        <f>Dane!B95</f>
        <v>MNIST</v>
      </c>
      <c r="B99" t="str">
        <f>Dane!C95</f>
        <v>Support Vector Machine</v>
      </c>
      <c r="C99" t="str">
        <f>Dane!D95</f>
        <v>PCA</v>
      </c>
      <c r="D99">
        <f>Dane!K95</f>
        <v>0.98280000000000001</v>
      </c>
    </row>
    <row r="100" spans="1:11" x14ac:dyDescent="0.3">
      <c r="A100" t="str">
        <f>Dane!B96</f>
        <v>MNIST</v>
      </c>
      <c r="B100" t="str">
        <f>Dane!C96</f>
        <v>Support Vector Machine</v>
      </c>
      <c r="C100" t="str">
        <f>Dane!D96</f>
        <v>UMAP</v>
      </c>
      <c r="D100">
        <f>Dane!K96</f>
        <v>0.95409999999999995</v>
      </c>
    </row>
    <row r="101" spans="1:11" x14ac:dyDescent="0.3">
      <c r="A101" t="str">
        <f>Dane!B97</f>
        <v>MNIST</v>
      </c>
      <c r="B101" t="str">
        <f>Dane!C97</f>
        <v>XGBoost</v>
      </c>
      <c r="C101" t="str">
        <f>Dane!D97</f>
        <v>Brak redukcji</v>
      </c>
      <c r="D101">
        <f>Dane!K97</f>
        <v>0.96540000000000004</v>
      </c>
    </row>
    <row r="102" spans="1:11" x14ac:dyDescent="0.3">
      <c r="A102" t="str">
        <f>Dane!B98</f>
        <v>MNIST</v>
      </c>
      <c r="B102" t="str">
        <f>Dane!C98</f>
        <v>XGBoost</v>
      </c>
      <c r="C102" t="str">
        <f>Dane!D98</f>
        <v>Flood Fill</v>
      </c>
      <c r="D102">
        <f>Dane!K98</f>
        <v>0.97570000000000001</v>
      </c>
      <c r="F102" s="1" t="s">
        <v>37</v>
      </c>
      <c r="G102" s="1" t="s">
        <v>35</v>
      </c>
    </row>
    <row r="103" spans="1:11" x14ac:dyDescent="0.3">
      <c r="A103" t="str">
        <f>Dane!B99</f>
        <v>MNIST</v>
      </c>
      <c r="B103" t="str">
        <f>Dane!C99</f>
        <v>XGBoost</v>
      </c>
      <c r="C103" t="str">
        <f>Dane!D99</f>
        <v>LDA</v>
      </c>
      <c r="D103">
        <f>Dane!K99</f>
        <v>0.91279999999999994</v>
      </c>
      <c r="F103" s="1" t="s">
        <v>36</v>
      </c>
      <c r="G103" t="s">
        <v>20</v>
      </c>
      <c r="H103" t="s">
        <v>26</v>
      </c>
      <c r="I103" t="s">
        <v>25</v>
      </c>
      <c r="J103" t="s">
        <v>24</v>
      </c>
      <c r="K103" t="s">
        <v>39</v>
      </c>
    </row>
    <row r="104" spans="1:11" x14ac:dyDescent="0.3">
      <c r="A104" t="str">
        <f>Dane!B100</f>
        <v>MNIST</v>
      </c>
      <c r="B104" t="str">
        <f>Dane!C100</f>
        <v>XGBoost</v>
      </c>
      <c r="C104" t="str">
        <f>Dane!D100</f>
        <v>PCA</v>
      </c>
      <c r="D104">
        <f>Dane!K100</f>
        <v>0.95509999999999995</v>
      </c>
      <c r="F104" s="2" t="s">
        <v>19</v>
      </c>
      <c r="G104" s="3">
        <v>0.91131041355256603</v>
      </c>
      <c r="H104" s="3">
        <v>0.89885401096163398</v>
      </c>
      <c r="I104" s="3">
        <v>0.90533134030891804</v>
      </c>
      <c r="J104" s="3">
        <v>0.94818136522172303</v>
      </c>
      <c r="K104" s="3">
        <v>0.92974588938714497</v>
      </c>
    </row>
    <row r="105" spans="1:11" x14ac:dyDescent="0.3">
      <c r="A105" t="str">
        <f>Dane!B101</f>
        <v>MNIST</v>
      </c>
      <c r="B105" t="str">
        <f>Dane!C101</f>
        <v>XGBoost</v>
      </c>
      <c r="C105" t="str">
        <f>Dane!D101</f>
        <v>UMAP</v>
      </c>
      <c r="D105">
        <f>Dane!K101</f>
        <v>0.9556</v>
      </c>
      <c r="F105" s="2" t="s">
        <v>22</v>
      </c>
      <c r="G105" s="3">
        <v>0.92526158445440898</v>
      </c>
      <c r="H105" s="3">
        <v>0.92127553562531095</v>
      </c>
      <c r="I105" s="3">
        <v>0.90333831589436897</v>
      </c>
      <c r="J105" s="3">
        <v>0.94170403587443896</v>
      </c>
      <c r="K105" s="3">
        <v>0.92227204783258598</v>
      </c>
    </row>
    <row r="106" spans="1:11" x14ac:dyDescent="0.3">
      <c r="A106" t="s">
        <v>32</v>
      </c>
      <c r="B106" t="s">
        <v>38</v>
      </c>
      <c r="C106" t="s">
        <v>33</v>
      </c>
      <c r="D106" t="s">
        <v>34</v>
      </c>
      <c r="F106" s="2" t="s">
        <v>23</v>
      </c>
      <c r="G106" s="3">
        <v>0.92725460886895805</v>
      </c>
      <c r="H106" s="3">
        <v>0.90383657199800604</v>
      </c>
      <c r="I106" s="3">
        <v>0.90284005979073201</v>
      </c>
      <c r="J106" s="3">
        <v>0.95117090184354702</v>
      </c>
      <c r="K106" s="3">
        <v>0.92625809666168402</v>
      </c>
    </row>
    <row r="107" spans="1:11" x14ac:dyDescent="0.3">
      <c r="A107" t="str">
        <f>Dane!B102</f>
        <v>USPS</v>
      </c>
      <c r="B107" s="2" t="s">
        <v>19</v>
      </c>
      <c r="C107" t="str">
        <f>Dane!D102</f>
        <v>Brak redukcji</v>
      </c>
      <c r="D107">
        <f>Dane!K102</f>
        <v>0.91131041355256603</v>
      </c>
      <c r="F107" s="2" t="s">
        <v>21</v>
      </c>
      <c r="G107" s="3">
        <v>0.92277030393622295</v>
      </c>
      <c r="H107" s="3">
        <v>0.92227204783258598</v>
      </c>
      <c r="I107" s="3">
        <v>0.90034877927254597</v>
      </c>
      <c r="J107" s="3">
        <v>0.92874937717987005</v>
      </c>
      <c r="K107" s="3">
        <v>0.92526158445440898</v>
      </c>
    </row>
    <row r="108" spans="1:11" x14ac:dyDescent="0.3">
      <c r="A108" t="str">
        <f>Dane!B103</f>
        <v>USPS</v>
      </c>
      <c r="B108" t="str">
        <f>Dane!C103</f>
        <v>K-Nearest Neighbors</v>
      </c>
      <c r="C108" t="str">
        <f>Dane!D103</f>
        <v>Flood Fill</v>
      </c>
      <c r="D108">
        <f>Dane!K103</f>
        <v>0.89885401096163398</v>
      </c>
    </row>
    <row r="109" spans="1:11" x14ac:dyDescent="0.3">
      <c r="A109" t="str">
        <f>Dane!B104</f>
        <v>USPS</v>
      </c>
      <c r="B109" t="str">
        <f>Dane!C104</f>
        <v>K-Nearest Neighbors</v>
      </c>
      <c r="C109" t="str">
        <f>Dane!D104</f>
        <v>LDA</v>
      </c>
      <c r="D109">
        <f>Dane!K104</f>
        <v>0.90533134030891804</v>
      </c>
    </row>
    <row r="110" spans="1:11" x14ac:dyDescent="0.3">
      <c r="A110" t="str">
        <f>Dane!B105</f>
        <v>USPS</v>
      </c>
      <c r="B110" t="str">
        <f>Dane!C105</f>
        <v>K-Nearest Neighbors</v>
      </c>
      <c r="C110" t="str">
        <f>Dane!D105</f>
        <v>PCA</v>
      </c>
      <c r="D110">
        <f>Dane!K105</f>
        <v>0.94818136522172303</v>
      </c>
    </row>
    <row r="111" spans="1:11" x14ac:dyDescent="0.3">
      <c r="A111" t="str">
        <f>Dane!B106</f>
        <v>USPS</v>
      </c>
      <c r="B111" t="str">
        <f>Dane!C106</f>
        <v>K-Nearest Neighbors</v>
      </c>
      <c r="C111" t="str">
        <f>Dane!D106</f>
        <v>UMAP</v>
      </c>
      <c r="D111">
        <f>Dane!K106</f>
        <v>0.92974588938714497</v>
      </c>
    </row>
    <row r="112" spans="1:11" x14ac:dyDescent="0.3">
      <c r="A112" t="str">
        <f>Dane!B107</f>
        <v>USPS</v>
      </c>
      <c r="B112" t="str">
        <f>Dane!C107</f>
        <v>Multi-Layer Perceptron</v>
      </c>
      <c r="C112" t="str">
        <f>Dane!D107</f>
        <v>Brak redukcji</v>
      </c>
      <c r="D112">
        <f>Dane!K107</f>
        <v>0.92526158445440898</v>
      </c>
    </row>
    <row r="113" spans="1:4" x14ac:dyDescent="0.3">
      <c r="A113" t="str">
        <f>Dane!B108</f>
        <v>USPS</v>
      </c>
      <c r="B113" t="str">
        <f>Dane!C108</f>
        <v>Multi-Layer Perceptron</v>
      </c>
      <c r="C113" t="str">
        <f>Dane!D108</f>
        <v>Flood Fill</v>
      </c>
      <c r="D113">
        <f>Dane!K108</f>
        <v>0.92127553562531095</v>
      </c>
    </row>
    <row r="114" spans="1:4" x14ac:dyDescent="0.3">
      <c r="A114" t="str">
        <f>Dane!B109</f>
        <v>USPS</v>
      </c>
      <c r="B114" t="str">
        <f>Dane!C109</f>
        <v>Multi-Layer Perceptron</v>
      </c>
      <c r="C114" t="str">
        <f>Dane!D109</f>
        <v>LDA</v>
      </c>
      <c r="D114">
        <f>Dane!K109</f>
        <v>0.90333831589436897</v>
      </c>
    </row>
    <row r="115" spans="1:4" x14ac:dyDescent="0.3">
      <c r="A115" t="str">
        <f>Dane!B110</f>
        <v>USPS</v>
      </c>
      <c r="B115" t="str">
        <f>Dane!C110</f>
        <v>Multi-Layer Perceptron</v>
      </c>
      <c r="C115" t="str">
        <f>Dane!D110</f>
        <v>PCA</v>
      </c>
      <c r="D115">
        <f>Dane!K110</f>
        <v>0.94170403587443896</v>
      </c>
    </row>
    <row r="116" spans="1:4" x14ac:dyDescent="0.3">
      <c r="A116" t="str">
        <f>Dane!B111</f>
        <v>USPS</v>
      </c>
      <c r="B116" t="str">
        <f>Dane!C111</f>
        <v>Multi-Layer Perceptron</v>
      </c>
      <c r="C116" t="str">
        <f>Dane!D111</f>
        <v>UMAP</v>
      </c>
      <c r="D116">
        <f>Dane!K111</f>
        <v>0.92227204783258598</v>
      </c>
    </row>
    <row r="117" spans="1:4" x14ac:dyDescent="0.3">
      <c r="A117" t="str">
        <f>Dane!B112</f>
        <v>USPS</v>
      </c>
      <c r="B117" t="str">
        <f>Dane!C112</f>
        <v>Support Vector Machine</v>
      </c>
      <c r="C117" t="str">
        <f>Dane!D112</f>
        <v>Brak redukcji</v>
      </c>
      <c r="D117">
        <f>Dane!K112</f>
        <v>0.92725460886895805</v>
      </c>
    </row>
    <row r="118" spans="1:4" x14ac:dyDescent="0.3">
      <c r="A118" t="str">
        <f>Dane!B113</f>
        <v>USPS</v>
      </c>
      <c r="B118" t="str">
        <f>Dane!C113</f>
        <v>Support Vector Machine</v>
      </c>
      <c r="C118" t="str">
        <f>Dane!D113</f>
        <v>Flood Fill</v>
      </c>
      <c r="D118">
        <f>Dane!K113</f>
        <v>0.90383657199800604</v>
      </c>
    </row>
    <row r="119" spans="1:4" x14ac:dyDescent="0.3">
      <c r="A119" t="str">
        <f>Dane!B114</f>
        <v>USPS</v>
      </c>
      <c r="B119" t="str">
        <f>Dane!C114</f>
        <v>Support Vector Machine</v>
      </c>
      <c r="C119" t="str">
        <f>Dane!D114</f>
        <v>LDA</v>
      </c>
      <c r="D119">
        <f>Dane!K114</f>
        <v>0.90284005979073201</v>
      </c>
    </row>
    <row r="120" spans="1:4" x14ac:dyDescent="0.3">
      <c r="A120" t="str">
        <f>Dane!B115</f>
        <v>USPS</v>
      </c>
      <c r="B120" t="str">
        <f>Dane!C115</f>
        <v>Support Vector Machine</v>
      </c>
      <c r="C120" t="str">
        <f>Dane!D115</f>
        <v>PCA</v>
      </c>
      <c r="D120">
        <f>Dane!K115</f>
        <v>0.95117090184354702</v>
      </c>
    </row>
    <row r="121" spans="1:4" x14ac:dyDescent="0.3">
      <c r="A121" t="str">
        <f>Dane!B116</f>
        <v>USPS</v>
      </c>
      <c r="B121" t="str">
        <f>Dane!C116</f>
        <v>Support Vector Machine</v>
      </c>
      <c r="C121" t="str">
        <f>Dane!D116</f>
        <v>UMAP</v>
      </c>
      <c r="D121">
        <f>Dane!K116</f>
        <v>0.92625809666168402</v>
      </c>
    </row>
    <row r="122" spans="1:4" x14ac:dyDescent="0.3">
      <c r="A122" t="str">
        <f>Dane!B117</f>
        <v>USPS</v>
      </c>
      <c r="B122" t="str">
        <f>Dane!C117</f>
        <v>XGBoost</v>
      </c>
      <c r="C122" t="str">
        <f>Dane!D117</f>
        <v>Brak redukcji</v>
      </c>
      <c r="D122">
        <f>Dane!K117</f>
        <v>0.92277030393622295</v>
      </c>
    </row>
    <row r="123" spans="1:4" x14ac:dyDescent="0.3">
      <c r="A123" t="str">
        <f>Dane!B118</f>
        <v>USPS</v>
      </c>
      <c r="B123" t="str">
        <f>Dane!C118</f>
        <v>XGBoost</v>
      </c>
      <c r="C123" t="str">
        <f>Dane!D118</f>
        <v>Flood Fill</v>
      </c>
      <c r="D123">
        <f>Dane!K118</f>
        <v>0.92227204783258598</v>
      </c>
    </row>
    <row r="124" spans="1:4" x14ac:dyDescent="0.3">
      <c r="A124" t="str">
        <f>Dane!B119</f>
        <v>USPS</v>
      </c>
      <c r="B124" t="str">
        <f>Dane!C119</f>
        <v>XGBoost</v>
      </c>
      <c r="C124" t="str">
        <f>Dane!D119</f>
        <v>LDA</v>
      </c>
      <c r="D124">
        <f>Dane!K119</f>
        <v>0.90034877927254597</v>
      </c>
    </row>
    <row r="125" spans="1:4" x14ac:dyDescent="0.3">
      <c r="A125" t="str">
        <f>Dane!B120</f>
        <v>USPS</v>
      </c>
      <c r="B125" t="str">
        <f>Dane!C120</f>
        <v>XGBoost</v>
      </c>
      <c r="C125" t="str">
        <f>Dane!D120</f>
        <v>PCA</v>
      </c>
      <c r="D125">
        <f>Dane!K120</f>
        <v>0.92874937717987005</v>
      </c>
    </row>
    <row r="126" spans="1:4" x14ac:dyDescent="0.3">
      <c r="A126" t="str">
        <f>Dane!B121</f>
        <v>USPS</v>
      </c>
      <c r="B126" t="str">
        <f>Dane!C121</f>
        <v>XGBoost</v>
      </c>
      <c r="C126" t="str">
        <f>Dane!D121</f>
        <v>UMAP</v>
      </c>
      <c r="D126">
        <f>Dane!K121</f>
        <v>0.92526158445440898</v>
      </c>
    </row>
  </sheetData>
  <conditionalFormatting pivot="1" sqref="G4:K7">
    <cfRule type="colorScale" priority="6">
      <colorScale>
        <cfvo type="min"/>
        <cfvo type="max"/>
        <color rgb="FFFFEF9C"/>
        <color rgb="FF63BE7B"/>
      </colorScale>
    </cfRule>
  </conditionalFormatting>
  <conditionalFormatting pivot="1" sqref="G24:K27">
    <cfRule type="colorScale" priority="5">
      <colorScale>
        <cfvo type="min"/>
        <cfvo type="max"/>
        <color rgb="FFFFEF9C"/>
        <color rgb="FF63BE7B"/>
      </colorScale>
    </cfRule>
  </conditionalFormatting>
  <conditionalFormatting pivot="1" sqref="G44:K47">
    <cfRule type="colorScale" priority="4">
      <colorScale>
        <cfvo type="min"/>
        <cfvo type="max"/>
        <color rgb="FFFFEF9C"/>
        <color rgb="FF63BE7B"/>
      </colorScale>
    </cfRule>
  </conditionalFormatting>
  <conditionalFormatting pivot="1" sqref="G64:K67">
    <cfRule type="colorScale" priority="3">
      <colorScale>
        <cfvo type="min"/>
        <cfvo type="max"/>
        <color rgb="FFFFEF9C"/>
        <color rgb="FF63BE7B"/>
      </colorScale>
    </cfRule>
  </conditionalFormatting>
  <conditionalFormatting pivot="1" sqref="G84:K87">
    <cfRule type="colorScale" priority="2">
      <colorScale>
        <cfvo type="min"/>
        <cfvo type="max"/>
        <color rgb="FFFFEF9C"/>
        <color rgb="FF63BE7B"/>
      </colorScale>
    </cfRule>
  </conditionalFormatting>
  <conditionalFormatting pivot="1" sqref="G104:K107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9DB8D-8BF0-4BAA-8CC9-EBDD6BAF8BEC}">
  <dimension ref="A1:R321"/>
  <sheetViews>
    <sheetView topLeftCell="A307" workbookViewId="0">
      <selection activeCell="D336" sqref="D336"/>
    </sheetView>
  </sheetViews>
  <sheetFormatPr defaultRowHeight="14.4" x14ac:dyDescent="0.3"/>
  <cols>
    <col min="1" max="1" width="9.109375" bestFit="1" customWidth="1"/>
    <col min="2" max="2" width="22.77734375" bestFit="1" customWidth="1"/>
    <col min="3" max="3" width="21.6640625" bestFit="1" customWidth="1"/>
    <col min="4" max="4" width="17.44140625" bestFit="1" customWidth="1"/>
    <col min="5" max="5" width="21.88671875" bestFit="1" customWidth="1"/>
    <col min="6" max="6" width="15.21875" bestFit="1" customWidth="1"/>
    <col min="7" max="7" width="14.5546875" bestFit="1" customWidth="1"/>
    <col min="8" max="8" width="18.77734375" bestFit="1" customWidth="1"/>
    <col min="9" max="9" width="20.5546875" bestFit="1" customWidth="1"/>
    <col min="10" max="10" width="22.21875" bestFit="1" customWidth="1"/>
    <col min="11" max="11" width="10.77734375" bestFit="1" customWidth="1"/>
    <col min="12" max="14" width="19.77734375" bestFit="1" customWidth="1"/>
    <col min="15" max="15" width="25" bestFit="1" customWidth="1"/>
    <col min="16" max="16" width="16.6640625" bestFit="1" customWidth="1"/>
    <col min="17" max="17" width="18.44140625" bestFit="1" customWidth="1"/>
    <col min="18" max="18" width="16.21875" bestFit="1" customWidth="1"/>
  </cols>
  <sheetData>
    <row r="1" spans="1:18" x14ac:dyDescent="0.3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7" t="s">
        <v>17</v>
      </c>
    </row>
    <row r="2" spans="1:18" x14ac:dyDescent="0.3">
      <c r="A2" s="28">
        <v>21</v>
      </c>
      <c r="B2" s="29" t="s">
        <v>41</v>
      </c>
      <c r="C2" s="29" t="s">
        <v>19</v>
      </c>
      <c r="D2" s="29" t="s">
        <v>20</v>
      </c>
      <c r="E2" s="29">
        <v>3.5574399982578997E-2</v>
      </c>
      <c r="F2" s="30">
        <v>60000</v>
      </c>
      <c r="G2" s="30">
        <v>10000</v>
      </c>
      <c r="H2" s="29">
        <v>16.435479399980899</v>
      </c>
      <c r="I2" s="30">
        <v>9625</v>
      </c>
      <c r="J2" s="30">
        <v>375</v>
      </c>
      <c r="K2" s="29">
        <v>0.96250000000000002</v>
      </c>
      <c r="L2" s="29">
        <v>0.96310315757451403</v>
      </c>
      <c r="M2" s="29">
        <v>0.96194103493596395</v>
      </c>
      <c r="N2" s="29">
        <v>0.96232151593843196</v>
      </c>
      <c r="O2" s="29">
        <v>0.5</v>
      </c>
      <c r="P2" s="30">
        <v>7</v>
      </c>
      <c r="Q2" s="30">
        <v>99999999</v>
      </c>
      <c r="R2" s="31">
        <v>784</v>
      </c>
    </row>
    <row r="3" spans="1:18" x14ac:dyDescent="0.3">
      <c r="A3" s="28">
        <v>37</v>
      </c>
      <c r="B3" s="29" t="s">
        <v>41</v>
      </c>
      <c r="C3" s="29" t="s">
        <v>19</v>
      </c>
      <c r="D3" s="29" t="s">
        <v>26</v>
      </c>
      <c r="E3" s="29">
        <v>3.48969997139647E-3</v>
      </c>
      <c r="F3" s="30">
        <v>60000</v>
      </c>
      <c r="G3" s="30">
        <v>10000</v>
      </c>
      <c r="H3" s="29">
        <v>7.4888968999730396</v>
      </c>
      <c r="I3" s="30">
        <v>980</v>
      </c>
      <c r="J3" s="30">
        <v>9020</v>
      </c>
      <c r="K3" s="29">
        <v>9.8000000000000004E-2</v>
      </c>
      <c r="L3" s="29">
        <v>9.7999999999999997E-3</v>
      </c>
      <c r="M3" s="29">
        <v>0.1</v>
      </c>
      <c r="N3" s="29">
        <v>1.7850637522768598E-2</v>
      </c>
      <c r="O3" s="29">
        <v>0.228580506497157</v>
      </c>
      <c r="P3" s="30">
        <v>7</v>
      </c>
      <c r="Q3" s="30">
        <v>99999999</v>
      </c>
      <c r="R3" s="31">
        <v>43</v>
      </c>
    </row>
    <row r="4" spans="1:18" x14ac:dyDescent="0.3">
      <c r="A4" s="28">
        <v>29</v>
      </c>
      <c r="B4" s="29" t="s">
        <v>41</v>
      </c>
      <c r="C4" s="29" t="s">
        <v>19</v>
      </c>
      <c r="D4" s="29" t="s">
        <v>25</v>
      </c>
      <c r="E4" s="29">
        <v>8.01010000286623E-2</v>
      </c>
      <c r="F4" s="30">
        <v>60000</v>
      </c>
      <c r="G4" s="30">
        <v>10000</v>
      </c>
      <c r="H4" s="29">
        <v>10.267388599982899</v>
      </c>
      <c r="I4" s="30">
        <v>9169</v>
      </c>
      <c r="J4" s="30">
        <v>831</v>
      </c>
      <c r="K4" s="29">
        <v>0.91690000000000005</v>
      </c>
      <c r="L4" s="29">
        <v>0.91586441221715298</v>
      </c>
      <c r="M4" s="29">
        <v>0.915678481347736</v>
      </c>
      <c r="N4" s="29">
        <v>0.91560182202264195</v>
      </c>
      <c r="O4" s="29">
        <v>0.5</v>
      </c>
      <c r="P4" s="30">
        <v>7</v>
      </c>
      <c r="Q4" s="30">
        <v>99999999</v>
      </c>
      <c r="R4" s="31">
        <v>9</v>
      </c>
    </row>
    <row r="5" spans="1:18" x14ac:dyDescent="0.3">
      <c r="A5" s="28">
        <v>25</v>
      </c>
      <c r="B5" s="29" t="s">
        <v>41</v>
      </c>
      <c r="C5" s="29" t="s">
        <v>19</v>
      </c>
      <c r="D5" s="29" t="s">
        <v>24</v>
      </c>
      <c r="E5" s="29">
        <v>3.79320001229643E-3</v>
      </c>
      <c r="F5" s="30">
        <v>60000</v>
      </c>
      <c r="G5" s="30">
        <v>10000</v>
      </c>
      <c r="H5" s="29">
        <v>9.2445629999856394</v>
      </c>
      <c r="I5" s="30">
        <v>9748</v>
      </c>
      <c r="J5" s="30">
        <v>252</v>
      </c>
      <c r="K5" s="29">
        <v>0.9748</v>
      </c>
      <c r="L5" s="29">
        <v>0.97493285956107101</v>
      </c>
      <c r="M5" s="29">
        <v>0.97453952893073703</v>
      </c>
      <c r="N5" s="29">
        <v>0.974690913200562</v>
      </c>
      <c r="O5" s="29">
        <v>0.5</v>
      </c>
      <c r="P5" s="30">
        <v>7</v>
      </c>
      <c r="Q5" s="30">
        <v>99999999</v>
      </c>
      <c r="R5" s="31">
        <v>43</v>
      </c>
    </row>
    <row r="6" spans="1:18" x14ac:dyDescent="0.3">
      <c r="A6" s="28">
        <v>33</v>
      </c>
      <c r="B6" s="29" t="s">
        <v>41</v>
      </c>
      <c r="C6" s="29" t="s">
        <v>19</v>
      </c>
      <c r="D6" s="29" t="s">
        <v>39</v>
      </c>
      <c r="E6" s="29">
        <v>3.2554999925196101E-3</v>
      </c>
      <c r="F6" s="30">
        <v>60000</v>
      </c>
      <c r="G6" s="30">
        <v>10000</v>
      </c>
      <c r="H6" s="29">
        <v>102.15828219999</v>
      </c>
      <c r="I6" s="30">
        <v>9583</v>
      </c>
      <c r="J6" s="30">
        <v>417</v>
      </c>
      <c r="K6" s="29">
        <v>0.95830000000000004</v>
      </c>
      <c r="L6" s="29">
        <v>0.95902482441460302</v>
      </c>
      <c r="M6" s="29">
        <v>0.95781745964756504</v>
      </c>
      <c r="N6" s="29">
        <v>0.95818244653731599</v>
      </c>
      <c r="O6" s="29">
        <v>0.5</v>
      </c>
      <c r="P6" s="30">
        <v>7</v>
      </c>
      <c r="Q6" s="30">
        <v>99999999</v>
      </c>
      <c r="R6" s="31">
        <v>43</v>
      </c>
    </row>
    <row r="7" spans="1:18" x14ac:dyDescent="0.3">
      <c r="A7" s="28">
        <v>23</v>
      </c>
      <c r="B7" s="29" t="s">
        <v>41</v>
      </c>
      <c r="C7" s="29" t="s">
        <v>22</v>
      </c>
      <c r="D7" s="29" t="s">
        <v>20</v>
      </c>
      <c r="E7" s="29">
        <v>191.00139590003499</v>
      </c>
      <c r="F7" s="30">
        <v>60000</v>
      </c>
      <c r="G7" s="30">
        <v>10000</v>
      </c>
      <c r="H7" s="29">
        <v>202.34836179995901</v>
      </c>
      <c r="I7" s="30">
        <v>9767</v>
      </c>
      <c r="J7" s="30">
        <v>233</v>
      </c>
      <c r="K7" s="29">
        <v>0.97670000000000001</v>
      </c>
      <c r="L7" s="29">
        <v>0.97652846046389497</v>
      </c>
      <c r="M7" s="29">
        <v>0.97642085202510898</v>
      </c>
      <c r="N7" s="29">
        <v>0.97643391599346796</v>
      </c>
      <c r="O7" s="29">
        <v>0.5</v>
      </c>
      <c r="P7" s="30">
        <v>7</v>
      </c>
      <c r="Q7" s="30">
        <v>99999999</v>
      </c>
      <c r="R7" s="31">
        <v>784</v>
      </c>
    </row>
    <row r="8" spans="1:18" x14ac:dyDescent="0.3">
      <c r="A8" s="28">
        <v>39</v>
      </c>
      <c r="B8" s="29" t="s">
        <v>41</v>
      </c>
      <c r="C8" s="29" t="s">
        <v>22</v>
      </c>
      <c r="D8" s="29" t="s">
        <v>26</v>
      </c>
      <c r="E8" s="29">
        <v>10.257891999965</v>
      </c>
      <c r="F8" s="30">
        <v>60000</v>
      </c>
      <c r="G8" s="30">
        <v>10000</v>
      </c>
      <c r="H8" s="29">
        <v>17.1818652999936</v>
      </c>
      <c r="I8" s="30">
        <v>1135</v>
      </c>
      <c r="J8" s="30">
        <v>8865</v>
      </c>
      <c r="K8" s="29">
        <v>0.1135</v>
      </c>
      <c r="L8" s="29">
        <v>1.1350000000000001E-2</v>
      </c>
      <c r="M8" s="29">
        <v>0.1</v>
      </c>
      <c r="N8" s="29">
        <v>2.0386169735069602E-2</v>
      </c>
      <c r="O8" s="29">
        <v>0.228580506497157</v>
      </c>
      <c r="P8" s="30">
        <v>7</v>
      </c>
      <c r="Q8" s="30">
        <v>99999999</v>
      </c>
      <c r="R8" s="31">
        <v>43</v>
      </c>
    </row>
    <row r="9" spans="1:18" x14ac:dyDescent="0.3">
      <c r="A9" s="28">
        <v>31</v>
      </c>
      <c r="B9" s="29" t="s">
        <v>41</v>
      </c>
      <c r="C9" s="29" t="s">
        <v>22</v>
      </c>
      <c r="D9" s="29" t="s">
        <v>25</v>
      </c>
      <c r="E9" s="29">
        <v>292.81694150000101</v>
      </c>
      <c r="F9" s="30">
        <v>60000</v>
      </c>
      <c r="G9" s="30">
        <v>10000</v>
      </c>
      <c r="H9" s="29">
        <v>303.08455160004002</v>
      </c>
      <c r="I9" s="30">
        <v>9060</v>
      </c>
      <c r="J9" s="30">
        <v>940</v>
      </c>
      <c r="K9" s="29">
        <v>0.90600000000000003</v>
      </c>
      <c r="L9" s="29">
        <v>0.90538666326925998</v>
      </c>
      <c r="M9" s="29">
        <v>0.90504828572541995</v>
      </c>
      <c r="N9" s="29">
        <v>0.90485660931213996</v>
      </c>
      <c r="O9" s="29">
        <v>0.5</v>
      </c>
      <c r="P9" s="30">
        <v>7</v>
      </c>
      <c r="Q9" s="30">
        <v>99999999</v>
      </c>
      <c r="R9" s="31">
        <v>9</v>
      </c>
    </row>
    <row r="10" spans="1:18" x14ac:dyDescent="0.3">
      <c r="A10" s="28">
        <v>27</v>
      </c>
      <c r="B10" s="29" t="s">
        <v>41</v>
      </c>
      <c r="C10" s="29" t="s">
        <v>22</v>
      </c>
      <c r="D10" s="29" t="s">
        <v>24</v>
      </c>
      <c r="E10" s="29">
        <v>49.962910700007299</v>
      </c>
      <c r="F10" s="30">
        <v>60000</v>
      </c>
      <c r="G10" s="30">
        <v>10000</v>
      </c>
      <c r="H10" s="29">
        <v>57.635940700012704</v>
      </c>
      <c r="I10" s="30">
        <v>9823</v>
      </c>
      <c r="J10" s="30">
        <v>177</v>
      </c>
      <c r="K10" s="29">
        <v>0.98229999999999995</v>
      </c>
      <c r="L10" s="29">
        <v>0.98223703645419802</v>
      </c>
      <c r="M10" s="29">
        <v>0.98214771798704403</v>
      </c>
      <c r="N10" s="29">
        <v>0.98218382188134001</v>
      </c>
      <c r="O10" s="29">
        <v>0.5</v>
      </c>
      <c r="P10" s="30">
        <v>7</v>
      </c>
      <c r="Q10" s="30">
        <v>99999999</v>
      </c>
      <c r="R10" s="31">
        <v>43</v>
      </c>
    </row>
    <row r="11" spans="1:18" x14ac:dyDescent="0.3">
      <c r="A11" s="28">
        <v>35</v>
      </c>
      <c r="B11" s="29" t="s">
        <v>41</v>
      </c>
      <c r="C11" s="29" t="s">
        <v>22</v>
      </c>
      <c r="D11" s="29" t="s">
        <v>39</v>
      </c>
      <c r="E11" s="29">
        <v>85.286964300030306</v>
      </c>
      <c r="F11" s="30">
        <v>60000</v>
      </c>
      <c r="G11" s="30">
        <v>10000</v>
      </c>
      <c r="H11" s="29">
        <v>180.88030259998001</v>
      </c>
      <c r="I11" s="30">
        <v>9572</v>
      </c>
      <c r="J11" s="30">
        <v>428</v>
      </c>
      <c r="K11" s="29">
        <v>0.95720000000000005</v>
      </c>
      <c r="L11" s="29">
        <v>0.95789441366556005</v>
      </c>
      <c r="M11" s="29">
        <v>0.95676125095904596</v>
      </c>
      <c r="N11" s="29">
        <v>0.95708739672571996</v>
      </c>
      <c r="O11" s="29">
        <v>0.5</v>
      </c>
      <c r="P11" s="30">
        <v>7</v>
      </c>
      <c r="Q11" s="30">
        <v>99999999</v>
      </c>
      <c r="R11" s="31">
        <v>43</v>
      </c>
    </row>
    <row r="12" spans="1:18" x14ac:dyDescent="0.3">
      <c r="A12" s="32">
        <v>24</v>
      </c>
      <c r="B12" s="33" t="s">
        <v>41</v>
      </c>
      <c r="C12" s="33" t="s">
        <v>23</v>
      </c>
      <c r="D12" s="33" t="s">
        <v>20</v>
      </c>
      <c r="E12" s="33">
        <v>153.43170120002401</v>
      </c>
      <c r="F12" s="34">
        <v>60000</v>
      </c>
      <c r="G12" s="34">
        <v>10000</v>
      </c>
      <c r="H12" s="33">
        <v>230.95839250000401</v>
      </c>
      <c r="I12" s="34">
        <v>9756</v>
      </c>
      <c r="J12" s="34">
        <v>244</v>
      </c>
      <c r="K12" s="33">
        <v>0.97560000000000002</v>
      </c>
      <c r="L12" s="33">
        <v>0.97560903513280095</v>
      </c>
      <c r="M12" s="33">
        <v>0.97538277770358595</v>
      </c>
      <c r="N12" s="33">
        <v>0.975469402788671</v>
      </c>
      <c r="O12" s="33">
        <v>0.5</v>
      </c>
      <c r="P12" s="34">
        <v>7</v>
      </c>
      <c r="Q12" s="34">
        <v>99999999</v>
      </c>
      <c r="R12" s="35">
        <v>784</v>
      </c>
    </row>
    <row r="13" spans="1:18" x14ac:dyDescent="0.3">
      <c r="A13" s="32">
        <v>40</v>
      </c>
      <c r="B13" s="33" t="s">
        <v>41</v>
      </c>
      <c r="C13" s="33" t="s">
        <v>23</v>
      </c>
      <c r="D13" s="33" t="s">
        <v>26</v>
      </c>
      <c r="E13" s="33">
        <v>298.378398099972</v>
      </c>
      <c r="F13" s="34">
        <v>60000</v>
      </c>
      <c r="G13" s="34">
        <v>10000</v>
      </c>
      <c r="H13" s="33">
        <v>347.40345859999002</v>
      </c>
      <c r="I13" s="34">
        <v>1135</v>
      </c>
      <c r="J13" s="34">
        <v>8865</v>
      </c>
      <c r="K13" s="33">
        <v>0.1135</v>
      </c>
      <c r="L13" s="33">
        <v>1.1350000000000001E-2</v>
      </c>
      <c r="M13" s="33">
        <v>0.1</v>
      </c>
      <c r="N13" s="33">
        <v>2.0386169735069602E-2</v>
      </c>
      <c r="O13" s="33">
        <v>0.228580506497157</v>
      </c>
      <c r="P13" s="34">
        <v>7</v>
      </c>
      <c r="Q13" s="34">
        <v>99999999</v>
      </c>
      <c r="R13" s="35">
        <v>43</v>
      </c>
    </row>
    <row r="14" spans="1:18" x14ac:dyDescent="0.3">
      <c r="A14" s="32">
        <v>32</v>
      </c>
      <c r="B14" s="33" t="s">
        <v>41</v>
      </c>
      <c r="C14" s="33" t="s">
        <v>23</v>
      </c>
      <c r="D14" s="33" t="s">
        <v>25</v>
      </c>
      <c r="E14" s="33">
        <v>9.8229420999996293</v>
      </c>
      <c r="F14" s="34">
        <v>60000</v>
      </c>
      <c r="G14" s="34">
        <v>10000</v>
      </c>
      <c r="H14" s="33">
        <v>29.125069400004499</v>
      </c>
      <c r="I14" s="34">
        <v>9205</v>
      </c>
      <c r="J14" s="34">
        <v>795</v>
      </c>
      <c r="K14" s="33">
        <v>0.92049999999999998</v>
      </c>
      <c r="L14" s="33">
        <v>0.91954918319220103</v>
      </c>
      <c r="M14" s="33">
        <v>0.91959095278601799</v>
      </c>
      <c r="N14" s="33">
        <v>0.91949662913700003</v>
      </c>
      <c r="O14" s="33">
        <v>0.5</v>
      </c>
      <c r="P14" s="34">
        <v>7</v>
      </c>
      <c r="Q14" s="34">
        <v>99999999</v>
      </c>
      <c r="R14" s="35">
        <v>9</v>
      </c>
    </row>
    <row r="15" spans="1:18" x14ac:dyDescent="0.3">
      <c r="A15" s="32">
        <v>28</v>
      </c>
      <c r="B15" s="33" t="s">
        <v>41</v>
      </c>
      <c r="C15" s="33" t="s">
        <v>23</v>
      </c>
      <c r="D15" s="33" t="s">
        <v>24</v>
      </c>
      <c r="E15" s="33">
        <v>20.8590626000077</v>
      </c>
      <c r="F15" s="34">
        <v>60000</v>
      </c>
      <c r="G15" s="34">
        <v>10000</v>
      </c>
      <c r="H15" s="33">
        <v>36.525548900011898</v>
      </c>
      <c r="I15" s="34">
        <v>9837</v>
      </c>
      <c r="J15" s="34">
        <v>163</v>
      </c>
      <c r="K15" s="33">
        <v>0.98370000000000002</v>
      </c>
      <c r="L15" s="33">
        <v>0.98369173903548401</v>
      </c>
      <c r="M15" s="33">
        <v>0.983585639486385</v>
      </c>
      <c r="N15" s="33">
        <v>0.98363272811037095</v>
      </c>
      <c r="O15" s="33">
        <v>0.5</v>
      </c>
      <c r="P15" s="34">
        <v>7</v>
      </c>
      <c r="Q15" s="34">
        <v>99999999</v>
      </c>
      <c r="R15" s="35">
        <v>43</v>
      </c>
    </row>
    <row r="16" spans="1:18" x14ac:dyDescent="0.3">
      <c r="A16" s="32">
        <v>36</v>
      </c>
      <c r="B16" s="33" t="s">
        <v>41</v>
      </c>
      <c r="C16" s="33" t="s">
        <v>23</v>
      </c>
      <c r="D16" s="33" t="s">
        <v>39</v>
      </c>
      <c r="E16" s="33">
        <v>9.4915160000091401</v>
      </c>
      <c r="F16" s="34">
        <v>60000</v>
      </c>
      <c r="G16" s="34">
        <v>10000</v>
      </c>
      <c r="H16" s="33">
        <v>106.094517399964</v>
      </c>
      <c r="I16" s="34">
        <v>9567</v>
      </c>
      <c r="J16" s="34">
        <v>433</v>
      </c>
      <c r="K16" s="33">
        <v>0.95669999999999999</v>
      </c>
      <c r="L16" s="33">
        <v>0.95750737366588001</v>
      </c>
      <c r="M16" s="33">
        <v>0.95619533462450401</v>
      </c>
      <c r="N16" s="33">
        <v>0.95658189324898701</v>
      </c>
      <c r="O16" s="33">
        <v>0.5</v>
      </c>
      <c r="P16" s="34">
        <v>7</v>
      </c>
      <c r="Q16" s="34">
        <v>99999999</v>
      </c>
      <c r="R16" s="35">
        <v>43</v>
      </c>
    </row>
    <row r="17" spans="1:18" x14ac:dyDescent="0.3">
      <c r="A17" s="32">
        <v>22</v>
      </c>
      <c r="B17" s="33" t="s">
        <v>41</v>
      </c>
      <c r="C17" s="33" t="s">
        <v>21</v>
      </c>
      <c r="D17" s="33" t="s">
        <v>20</v>
      </c>
      <c r="E17" s="33">
        <v>26.6407112999586</v>
      </c>
      <c r="F17" s="34">
        <v>60000</v>
      </c>
      <c r="G17" s="34">
        <v>10000</v>
      </c>
      <c r="H17" s="33">
        <v>37.612406500033103</v>
      </c>
      <c r="I17" s="34">
        <v>9696</v>
      </c>
      <c r="J17" s="34">
        <v>304</v>
      </c>
      <c r="K17" s="33">
        <v>0.96960000000000002</v>
      </c>
      <c r="L17" s="33">
        <v>0.96969741490154004</v>
      </c>
      <c r="M17" s="33">
        <v>0.96939625945644103</v>
      </c>
      <c r="N17" s="33">
        <v>0.96949113108016705</v>
      </c>
      <c r="O17" s="33">
        <v>0.5</v>
      </c>
      <c r="P17" s="34">
        <v>7</v>
      </c>
      <c r="Q17" s="34">
        <v>99999999</v>
      </c>
      <c r="R17" s="35">
        <v>784</v>
      </c>
    </row>
    <row r="18" spans="1:18" x14ac:dyDescent="0.3">
      <c r="A18" s="32">
        <v>38</v>
      </c>
      <c r="B18" s="33" t="s">
        <v>41</v>
      </c>
      <c r="C18" s="33" t="s">
        <v>21</v>
      </c>
      <c r="D18" s="33" t="s">
        <v>26</v>
      </c>
      <c r="E18" s="33">
        <v>1.0671984000364301</v>
      </c>
      <c r="F18" s="34">
        <v>60000</v>
      </c>
      <c r="G18" s="34">
        <v>10000</v>
      </c>
      <c r="H18" s="33">
        <v>8.1774731999612396</v>
      </c>
      <c r="I18" s="34">
        <v>1135</v>
      </c>
      <c r="J18" s="34">
        <v>8865</v>
      </c>
      <c r="K18" s="33">
        <v>0.1135</v>
      </c>
      <c r="L18" s="33">
        <v>1.1350000000000001E-2</v>
      </c>
      <c r="M18" s="33">
        <v>0.1</v>
      </c>
      <c r="N18" s="33">
        <v>2.0386169735069602E-2</v>
      </c>
      <c r="O18" s="33">
        <v>0.228580506497157</v>
      </c>
      <c r="P18" s="34">
        <v>7</v>
      </c>
      <c r="Q18" s="34">
        <v>99999999</v>
      </c>
      <c r="R18" s="35">
        <v>43</v>
      </c>
    </row>
    <row r="19" spans="1:18" x14ac:dyDescent="0.3">
      <c r="A19" s="32">
        <v>30</v>
      </c>
      <c r="B19" s="33" t="s">
        <v>41</v>
      </c>
      <c r="C19" s="33" t="s">
        <v>21</v>
      </c>
      <c r="D19" s="33" t="s">
        <v>25</v>
      </c>
      <c r="E19" s="33">
        <v>2.5186261999770001</v>
      </c>
      <c r="F19" s="34">
        <v>60000</v>
      </c>
      <c r="G19" s="34">
        <v>10000</v>
      </c>
      <c r="H19" s="33">
        <v>12.3676454999949</v>
      </c>
      <c r="I19" s="34">
        <v>9154</v>
      </c>
      <c r="J19" s="34">
        <v>846</v>
      </c>
      <c r="K19" s="33">
        <v>0.91539999999999999</v>
      </c>
      <c r="L19" s="33">
        <v>0.91433692593377802</v>
      </c>
      <c r="M19" s="33">
        <v>0.914341320867881</v>
      </c>
      <c r="N19" s="33">
        <v>0.91427246063146905</v>
      </c>
      <c r="O19" s="33">
        <v>0.5</v>
      </c>
      <c r="P19" s="34">
        <v>7</v>
      </c>
      <c r="Q19" s="34">
        <v>99999999</v>
      </c>
      <c r="R19" s="35">
        <v>9</v>
      </c>
    </row>
    <row r="20" spans="1:18" x14ac:dyDescent="0.3">
      <c r="A20" s="32">
        <v>26</v>
      </c>
      <c r="B20" s="33" t="s">
        <v>41</v>
      </c>
      <c r="C20" s="33" t="s">
        <v>21</v>
      </c>
      <c r="D20" s="33" t="s">
        <v>24</v>
      </c>
      <c r="E20" s="33">
        <v>7.5433979000081299</v>
      </c>
      <c r="F20" s="34">
        <v>60000</v>
      </c>
      <c r="G20" s="34">
        <v>10000</v>
      </c>
      <c r="H20" s="33">
        <v>15.7781720999628</v>
      </c>
      <c r="I20" s="34">
        <v>9573</v>
      </c>
      <c r="J20" s="34">
        <v>427</v>
      </c>
      <c r="K20" s="33">
        <v>0.95730000000000004</v>
      </c>
      <c r="L20" s="33">
        <v>0.95685362767523297</v>
      </c>
      <c r="M20" s="33">
        <v>0.95696230528724202</v>
      </c>
      <c r="N20" s="33">
        <v>0.95688056160027402</v>
      </c>
      <c r="O20" s="33">
        <v>0.5</v>
      </c>
      <c r="P20" s="34">
        <v>7</v>
      </c>
      <c r="Q20" s="34">
        <v>99999999</v>
      </c>
      <c r="R20" s="35">
        <v>43</v>
      </c>
    </row>
    <row r="21" spans="1:18" x14ac:dyDescent="0.3">
      <c r="A21" s="32">
        <v>34</v>
      </c>
      <c r="B21" s="33" t="s">
        <v>41</v>
      </c>
      <c r="C21" s="33" t="s">
        <v>21</v>
      </c>
      <c r="D21" s="33" t="s">
        <v>39</v>
      </c>
      <c r="E21" s="33">
        <v>4.2336590999620896</v>
      </c>
      <c r="F21" s="34">
        <v>60000</v>
      </c>
      <c r="G21" s="34">
        <v>10000</v>
      </c>
      <c r="H21" s="33">
        <v>98.522823899984303</v>
      </c>
      <c r="I21" s="34">
        <v>9586</v>
      </c>
      <c r="J21" s="34">
        <v>414</v>
      </c>
      <c r="K21" s="33">
        <v>0.95860000000000001</v>
      </c>
      <c r="L21" s="33">
        <v>0.95932755259522395</v>
      </c>
      <c r="M21" s="33">
        <v>0.95812864933148301</v>
      </c>
      <c r="N21" s="33">
        <v>0.95848983692029099</v>
      </c>
      <c r="O21" s="33">
        <v>0.5</v>
      </c>
      <c r="P21" s="34">
        <v>7</v>
      </c>
      <c r="Q21" s="34">
        <v>99999999</v>
      </c>
      <c r="R21" s="35">
        <v>43</v>
      </c>
    </row>
    <row r="22" spans="1:18" x14ac:dyDescent="0.3">
      <c r="A22" s="28">
        <v>41</v>
      </c>
      <c r="B22" s="29" t="s">
        <v>42</v>
      </c>
      <c r="C22" s="29" t="s">
        <v>19</v>
      </c>
      <c r="D22" s="29" t="s">
        <v>20</v>
      </c>
      <c r="E22" s="29">
        <v>3.4262000001035603E-2</v>
      </c>
      <c r="F22" s="30">
        <v>60000</v>
      </c>
      <c r="G22" s="30">
        <v>10000</v>
      </c>
      <c r="H22" s="29">
        <v>13.013523700006701</v>
      </c>
      <c r="I22" s="30">
        <v>9084</v>
      </c>
      <c r="J22" s="30">
        <v>916</v>
      </c>
      <c r="K22" s="29">
        <v>0.90839999999999999</v>
      </c>
      <c r="L22" s="29">
        <v>0.91408199605818896</v>
      </c>
      <c r="M22" s="29">
        <v>0.906954573041027</v>
      </c>
      <c r="N22" s="29">
        <v>0.90792075341422496</v>
      </c>
      <c r="O22" s="29">
        <v>0.5</v>
      </c>
      <c r="P22" s="30">
        <v>7</v>
      </c>
      <c r="Q22" s="30">
        <v>99999999</v>
      </c>
      <c r="R22" s="31">
        <v>784</v>
      </c>
    </row>
    <row r="23" spans="1:18" x14ac:dyDescent="0.3">
      <c r="A23" s="28">
        <v>57</v>
      </c>
      <c r="B23" s="29" t="s">
        <v>42</v>
      </c>
      <c r="C23" s="29" t="s">
        <v>19</v>
      </c>
      <c r="D23" s="29" t="s">
        <v>26</v>
      </c>
      <c r="E23" s="29">
        <v>4.2971000075340202E-3</v>
      </c>
      <c r="F23" s="30">
        <v>60000</v>
      </c>
      <c r="G23" s="30">
        <v>10000</v>
      </c>
      <c r="H23" s="29">
        <v>11.728967699978901</v>
      </c>
      <c r="I23" s="30">
        <v>9457</v>
      </c>
      <c r="J23" s="30">
        <v>543</v>
      </c>
      <c r="K23" s="29">
        <v>0.94569999999999999</v>
      </c>
      <c r="L23" s="29">
        <v>0.94541013413808195</v>
      </c>
      <c r="M23" s="29">
        <v>0.94467960579159205</v>
      </c>
      <c r="N23" s="29">
        <v>0.94480932372289195</v>
      </c>
      <c r="O23" s="29">
        <v>0.228580506497157</v>
      </c>
      <c r="P23" s="30">
        <v>7</v>
      </c>
      <c r="Q23" s="30">
        <v>99999999</v>
      </c>
      <c r="R23" s="31">
        <v>43</v>
      </c>
    </row>
    <row r="24" spans="1:18" x14ac:dyDescent="0.3">
      <c r="A24" s="28">
        <v>49</v>
      </c>
      <c r="B24" s="29" t="s">
        <v>42</v>
      </c>
      <c r="C24" s="29" t="s">
        <v>19</v>
      </c>
      <c r="D24" s="29" t="s">
        <v>25</v>
      </c>
      <c r="E24" s="29">
        <v>6.0455599974375197E-2</v>
      </c>
      <c r="F24" s="30">
        <v>60000</v>
      </c>
      <c r="G24" s="30">
        <v>10000</v>
      </c>
      <c r="H24" s="29">
        <v>9.7149921999662094</v>
      </c>
      <c r="I24" s="30">
        <v>8791</v>
      </c>
      <c r="J24" s="30">
        <v>1209</v>
      </c>
      <c r="K24" s="29">
        <v>0.87909999999999999</v>
      </c>
      <c r="L24" s="29">
        <v>0.87746424614336804</v>
      </c>
      <c r="M24" s="29">
        <v>0.87697992313280704</v>
      </c>
      <c r="N24" s="29">
        <v>0.87696837653042004</v>
      </c>
      <c r="O24" s="29">
        <v>0.5</v>
      </c>
      <c r="P24" s="30">
        <v>7</v>
      </c>
      <c r="Q24" s="30">
        <v>99999999</v>
      </c>
      <c r="R24" s="31">
        <v>9</v>
      </c>
    </row>
    <row r="25" spans="1:18" x14ac:dyDescent="0.3">
      <c r="A25" s="28">
        <v>45</v>
      </c>
      <c r="B25" s="29" t="s">
        <v>42</v>
      </c>
      <c r="C25" s="29" t="s">
        <v>19</v>
      </c>
      <c r="D25" s="29" t="s">
        <v>24</v>
      </c>
      <c r="E25" s="29">
        <v>3.2745000207796602E-3</v>
      </c>
      <c r="F25" s="30">
        <v>60000</v>
      </c>
      <c r="G25" s="30">
        <v>10000</v>
      </c>
      <c r="H25" s="29">
        <v>7.0610912999836701</v>
      </c>
      <c r="I25" s="30">
        <v>9006</v>
      </c>
      <c r="J25" s="30">
        <v>994</v>
      </c>
      <c r="K25" s="29">
        <v>0.90059999999999996</v>
      </c>
      <c r="L25" s="29">
        <v>0.899891552441756</v>
      </c>
      <c r="M25" s="29">
        <v>0.89871256258564902</v>
      </c>
      <c r="N25" s="29">
        <v>0.89813477901439698</v>
      </c>
      <c r="O25" s="29">
        <v>0.5</v>
      </c>
      <c r="P25" s="30">
        <v>7</v>
      </c>
      <c r="Q25" s="30">
        <v>99999999</v>
      </c>
      <c r="R25" s="31">
        <v>43</v>
      </c>
    </row>
    <row r="26" spans="1:18" x14ac:dyDescent="0.3">
      <c r="A26" s="28">
        <v>53</v>
      </c>
      <c r="B26" s="29" t="s">
        <v>42</v>
      </c>
      <c r="C26" s="29" t="s">
        <v>19</v>
      </c>
      <c r="D26" s="29" t="s">
        <v>39</v>
      </c>
      <c r="E26" s="29">
        <v>3.5923999967053498E-3</v>
      </c>
      <c r="F26" s="30">
        <v>60000</v>
      </c>
      <c r="G26" s="30">
        <v>10000</v>
      </c>
      <c r="H26" s="29">
        <v>136.27860209997701</v>
      </c>
      <c r="I26" s="30">
        <v>8717</v>
      </c>
      <c r="J26" s="30">
        <v>1283</v>
      </c>
      <c r="K26" s="29">
        <v>0.87170000000000003</v>
      </c>
      <c r="L26" s="29">
        <v>0.88215380901372997</v>
      </c>
      <c r="M26" s="29">
        <v>0.86984614602438903</v>
      </c>
      <c r="N26" s="29">
        <v>0.87151316493057895</v>
      </c>
      <c r="O26" s="29">
        <v>0.5</v>
      </c>
      <c r="P26" s="30">
        <v>7</v>
      </c>
      <c r="Q26" s="30">
        <v>99999999</v>
      </c>
      <c r="R26" s="31">
        <v>43</v>
      </c>
    </row>
    <row r="27" spans="1:18" x14ac:dyDescent="0.3">
      <c r="A27" s="28">
        <v>43</v>
      </c>
      <c r="B27" s="29" t="s">
        <v>42</v>
      </c>
      <c r="C27" s="29" t="s">
        <v>22</v>
      </c>
      <c r="D27" s="29" t="s">
        <v>20</v>
      </c>
      <c r="E27" s="29">
        <v>89.629833200015099</v>
      </c>
      <c r="F27" s="30">
        <v>60000</v>
      </c>
      <c r="G27" s="30">
        <v>10000</v>
      </c>
      <c r="H27" s="29">
        <v>99.242735600040703</v>
      </c>
      <c r="I27" s="30">
        <v>9575</v>
      </c>
      <c r="J27" s="30">
        <v>425</v>
      </c>
      <c r="K27" s="29">
        <v>0.95750000000000002</v>
      </c>
      <c r="L27" s="29">
        <v>0.95722252903320904</v>
      </c>
      <c r="M27" s="29">
        <v>0.95698895322043498</v>
      </c>
      <c r="N27" s="29">
        <v>0.95707838528130595</v>
      </c>
      <c r="O27" s="29">
        <v>0.5</v>
      </c>
      <c r="P27" s="30">
        <v>7</v>
      </c>
      <c r="Q27" s="30">
        <v>99999999</v>
      </c>
      <c r="R27" s="31">
        <v>784</v>
      </c>
    </row>
    <row r="28" spans="1:18" x14ac:dyDescent="0.3">
      <c r="A28" s="28">
        <v>59</v>
      </c>
      <c r="B28" s="29" t="s">
        <v>42</v>
      </c>
      <c r="C28" s="29" t="s">
        <v>22</v>
      </c>
      <c r="D28" s="29" t="s">
        <v>26</v>
      </c>
      <c r="E28" s="29">
        <v>660.58780149998995</v>
      </c>
      <c r="F28" s="30">
        <v>60000</v>
      </c>
      <c r="G28" s="30">
        <v>10000</v>
      </c>
      <c r="H28" s="29">
        <v>671.10433989996</v>
      </c>
      <c r="I28" s="30">
        <v>9677</v>
      </c>
      <c r="J28" s="30">
        <v>323</v>
      </c>
      <c r="K28" s="29">
        <v>0.9677</v>
      </c>
      <c r="L28" s="29">
        <v>0.96725688982701696</v>
      </c>
      <c r="M28" s="29">
        <v>0.96737487863610805</v>
      </c>
      <c r="N28" s="29">
        <v>0.96724953369536104</v>
      </c>
      <c r="O28" s="29">
        <v>0.228580506497157</v>
      </c>
      <c r="P28" s="30">
        <v>7</v>
      </c>
      <c r="Q28" s="30">
        <v>99999999</v>
      </c>
      <c r="R28" s="31">
        <v>43</v>
      </c>
    </row>
    <row r="29" spans="1:18" x14ac:dyDescent="0.3">
      <c r="A29" s="28">
        <v>51</v>
      </c>
      <c r="B29" s="29" t="s">
        <v>42</v>
      </c>
      <c r="C29" s="29" t="s">
        <v>22</v>
      </c>
      <c r="D29" s="29" t="s">
        <v>25</v>
      </c>
      <c r="E29" s="29">
        <v>447.32228960003698</v>
      </c>
      <c r="F29" s="30">
        <v>60000</v>
      </c>
      <c r="G29" s="30">
        <v>10000</v>
      </c>
      <c r="H29" s="29">
        <v>456.33687609998702</v>
      </c>
      <c r="I29" s="30">
        <v>8570</v>
      </c>
      <c r="J29" s="30">
        <v>1430</v>
      </c>
      <c r="K29" s="29">
        <v>0.85699999999999998</v>
      </c>
      <c r="L29" s="29">
        <v>0.85561139888862003</v>
      </c>
      <c r="M29" s="29">
        <v>0.85493876693439697</v>
      </c>
      <c r="N29" s="29">
        <v>0.85496154123172297</v>
      </c>
      <c r="O29" s="29">
        <v>0.5</v>
      </c>
      <c r="P29" s="30">
        <v>7</v>
      </c>
      <c r="Q29" s="30">
        <v>99999999</v>
      </c>
      <c r="R29" s="31">
        <v>9</v>
      </c>
    </row>
    <row r="30" spans="1:18" x14ac:dyDescent="0.3">
      <c r="A30" s="28">
        <v>47</v>
      </c>
      <c r="B30" s="29" t="s">
        <v>42</v>
      </c>
      <c r="C30" s="29" t="s">
        <v>22</v>
      </c>
      <c r="D30" s="29" t="s">
        <v>24</v>
      </c>
      <c r="E30" s="29">
        <v>51.113092300016397</v>
      </c>
      <c r="F30" s="30">
        <v>60000</v>
      </c>
      <c r="G30" s="30">
        <v>10000</v>
      </c>
      <c r="H30" s="29">
        <v>57.721682699979198</v>
      </c>
      <c r="I30" s="30">
        <v>9413</v>
      </c>
      <c r="J30" s="30">
        <v>587</v>
      </c>
      <c r="K30" s="29">
        <v>0.94130000000000003</v>
      </c>
      <c r="L30" s="29">
        <v>0.94054605935342295</v>
      </c>
      <c r="M30" s="29">
        <v>0.940604992949299</v>
      </c>
      <c r="N30" s="29">
        <v>0.94049367661500904</v>
      </c>
      <c r="O30" s="29">
        <v>0.5</v>
      </c>
      <c r="P30" s="30">
        <v>7</v>
      </c>
      <c r="Q30" s="30">
        <v>99999999</v>
      </c>
      <c r="R30" s="31">
        <v>43</v>
      </c>
    </row>
    <row r="31" spans="1:18" x14ac:dyDescent="0.3">
      <c r="A31" s="28">
        <v>55</v>
      </c>
      <c r="B31" s="29" t="s">
        <v>42</v>
      </c>
      <c r="C31" s="29" t="s">
        <v>22</v>
      </c>
      <c r="D31" s="29" t="s">
        <v>39</v>
      </c>
      <c r="E31" s="29">
        <v>92.678968599997404</v>
      </c>
      <c r="F31" s="30">
        <v>60000</v>
      </c>
      <c r="G31" s="30">
        <v>10000</v>
      </c>
      <c r="H31" s="29">
        <v>220.163603599998</v>
      </c>
      <c r="I31" s="30">
        <v>8514</v>
      </c>
      <c r="J31" s="30">
        <v>1486</v>
      </c>
      <c r="K31" s="29">
        <v>0.85140000000000005</v>
      </c>
      <c r="L31" s="29">
        <v>0.86934919198167604</v>
      </c>
      <c r="M31" s="29">
        <v>0.84749821539271697</v>
      </c>
      <c r="N31" s="29">
        <v>0.84955497055260898</v>
      </c>
      <c r="O31" s="29">
        <v>0.5</v>
      </c>
      <c r="P31" s="30">
        <v>7</v>
      </c>
      <c r="Q31" s="30">
        <v>99999999</v>
      </c>
      <c r="R31" s="31">
        <v>43</v>
      </c>
    </row>
    <row r="32" spans="1:18" x14ac:dyDescent="0.3">
      <c r="A32" s="32">
        <v>44</v>
      </c>
      <c r="B32" s="33" t="s">
        <v>42</v>
      </c>
      <c r="C32" s="33" t="s">
        <v>23</v>
      </c>
      <c r="D32" s="33" t="s">
        <v>20</v>
      </c>
      <c r="E32" s="33">
        <v>362.24778450001003</v>
      </c>
      <c r="F32" s="34">
        <v>60000</v>
      </c>
      <c r="G32" s="34">
        <v>10000</v>
      </c>
      <c r="H32" s="33">
        <v>486.81750809994901</v>
      </c>
      <c r="I32" s="34">
        <v>9551</v>
      </c>
      <c r="J32" s="34">
        <v>449</v>
      </c>
      <c r="K32" s="33">
        <v>0.95509999999999995</v>
      </c>
      <c r="L32" s="33">
        <v>0.95490461351010603</v>
      </c>
      <c r="M32" s="33">
        <v>0.95451388346398303</v>
      </c>
      <c r="N32" s="33">
        <v>0.95465241784203403</v>
      </c>
      <c r="O32" s="33">
        <v>0.5</v>
      </c>
      <c r="P32" s="34">
        <v>7</v>
      </c>
      <c r="Q32" s="34">
        <v>99999999</v>
      </c>
      <c r="R32" s="35">
        <v>784</v>
      </c>
    </row>
    <row r="33" spans="1:18" x14ac:dyDescent="0.3">
      <c r="A33" s="32">
        <v>60</v>
      </c>
      <c r="B33" s="33" t="s">
        <v>42</v>
      </c>
      <c r="C33" s="33" t="s">
        <v>23</v>
      </c>
      <c r="D33" s="33" t="s">
        <v>26</v>
      </c>
      <c r="E33" s="33">
        <v>24.985119700024299</v>
      </c>
      <c r="F33" s="34">
        <v>60000</v>
      </c>
      <c r="G33" s="34">
        <v>10000</v>
      </c>
      <c r="H33" s="33">
        <v>45.8575664000236</v>
      </c>
      <c r="I33" s="34">
        <v>9559</v>
      </c>
      <c r="J33" s="34">
        <v>441</v>
      </c>
      <c r="K33" s="33">
        <v>0.95589999999999997</v>
      </c>
      <c r="L33" s="33">
        <v>0.95566988511137496</v>
      </c>
      <c r="M33" s="33">
        <v>0.95518050927607001</v>
      </c>
      <c r="N33" s="33">
        <v>0.95529418458935</v>
      </c>
      <c r="O33" s="33">
        <v>0.228580506497157</v>
      </c>
      <c r="P33" s="34">
        <v>7</v>
      </c>
      <c r="Q33" s="34">
        <v>99999999</v>
      </c>
      <c r="R33" s="35">
        <v>43</v>
      </c>
    </row>
    <row r="34" spans="1:18" x14ac:dyDescent="0.3">
      <c r="A34" s="32">
        <v>52</v>
      </c>
      <c r="B34" s="33" t="s">
        <v>42</v>
      </c>
      <c r="C34" s="33" t="s">
        <v>23</v>
      </c>
      <c r="D34" s="33" t="s">
        <v>25</v>
      </c>
      <c r="E34" s="33">
        <v>13.198110600002099</v>
      </c>
      <c r="F34" s="34">
        <v>60000</v>
      </c>
      <c r="G34" s="34">
        <v>10000</v>
      </c>
      <c r="H34" s="33">
        <v>33.277318899985403</v>
      </c>
      <c r="I34" s="34">
        <v>8861</v>
      </c>
      <c r="J34" s="34">
        <v>1139</v>
      </c>
      <c r="K34" s="33">
        <v>0.8861</v>
      </c>
      <c r="L34" s="33">
        <v>0.88450092090904098</v>
      </c>
      <c r="M34" s="33">
        <v>0.88413679573096304</v>
      </c>
      <c r="N34" s="33">
        <v>0.88422660161375499</v>
      </c>
      <c r="O34" s="33">
        <v>0.5</v>
      </c>
      <c r="P34" s="34">
        <v>7</v>
      </c>
      <c r="Q34" s="34">
        <v>99999999</v>
      </c>
      <c r="R34" s="35">
        <v>9</v>
      </c>
    </row>
    <row r="35" spans="1:18" x14ac:dyDescent="0.3">
      <c r="A35" s="32">
        <v>48</v>
      </c>
      <c r="B35" s="33" t="s">
        <v>42</v>
      </c>
      <c r="C35" s="33" t="s">
        <v>23</v>
      </c>
      <c r="D35" s="33" t="s">
        <v>24</v>
      </c>
      <c r="E35" s="33">
        <v>43.385868599987496</v>
      </c>
      <c r="F35" s="34">
        <v>60000</v>
      </c>
      <c r="G35" s="34">
        <v>10000</v>
      </c>
      <c r="H35" s="33">
        <v>66.4455057000159</v>
      </c>
      <c r="I35" s="34">
        <v>9376</v>
      </c>
      <c r="J35" s="34">
        <v>624</v>
      </c>
      <c r="K35" s="33">
        <v>0.93759999999999999</v>
      </c>
      <c r="L35" s="33">
        <v>0.93677262891630098</v>
      </c>
      <c r="M35" s="33">
        <v>0.93668663121878004</v>
      </c>
      <c r="N35" s="33">
        <v>0.93668588915898898</v>
      </c>
      <c r="O35" s="33">
        <v>0.5</v>
      </c>
      <c r="P35" s="34">
        <v>7</v>
      </c>
      <c r="Q35" s="34">
        <v>99999999</v>
      </c>
      <c r="R35" s="35">
        <v>43</v>
      </c>
    </row>
    <row r="36" spans="1:18" x14ac:dyDescent="0.3">
      <c r="A36" s="32">
        <v>56</v>
      </c>
      <c r="B36" s="33" t="s">
        <v>42</v>
      </c>
      <c r="C36" s="33" t="s">
        <v>23</v>
      </c>
      <c r="D36" s="33" t="s">
        <v>39</v>
      </c>
      <c r="E36" s="33">
        <v>49.161090800014698</v>
      </c>
      <c r="F36" s="34">
        <v>60000</v>
      </c>
      <c r="G36" s="34">
        <v>10000</v>
      </c>
      <c r="H36" s="33">
        <v>182.415918899991</v>
      </c>
      <c r="I36" s="34">
        <v>8651</v>
      </c>
      <c r="J36" s="34">
        <v>1349</v>
      </c>
      <c r="K36" s="33">
        <v>0.86509999999999998</v>
      </c>
      <c r="L36" s="33">
        <v>0.88000991155200203</v>
      </c>
      <c r="M36" s="33">
        <v>0.86265735152304301</v>
      </c>
      <c r="N36" s="33">
        <v>0.86478802059390802</v>
      </c>
      <c r="O36" s="33">
        <v>0.5</v>
      </c>
      <c r="P36" s="34">
        <v>7</v>
      </c>
      <c r="Q36" s="34">
        <v>99999999</v>
      </c>
      <c r="R36" s="35">
        <v>43</v>
      </c>
    </row>
    <row r="37" spans="1:18" x14ac:dyDescent="0.3">
      <c r="A37" s="32">
        <v>42</v>
      </c>
      <c r="B37" s="33" t="s">
        <v>42</v>
      </c>
      <c r="C37" s="33" t="s">
        <v>21</v>
      </c>
      <c r="D37" s="33" t="s">
        <v>20</v>
      </c>
      <c r="E37" s="33">
        <v>16.063376099977098</v>
      </c>
      <c r="F37" s="34">
        <v>60000</v>
      </c>
      <c r="G37" s="34">
        <v>10000</v>
      </c>
      <c r="H37" s="33">
        <v>25.378980899986299</v>
      </c>
      <c r="I37" s="34">
        <v>9442</v>
      </c>
      <c r="J37" s="34">
        <v>558</v>
      </c>
      <c r="K37" s="33">
        <v>0.94420000000000004</v>
      </c>
      <c r="L37" s="33">
        <v>0.94394987317471701</v>
      </c>
      <c r="M37" s="33">
        <v>0.94366177929856898</v>
      </c>
      <c r="N37" s="33">
        <v>0.94372975196827102</v>
      </c>
      <c r="O37" s="33">
        <v>0.5</v>
      </c>
      <c r="P37" s="34">
        <v>7</v>
      </c>
      <c r="Q37" s="34">
        <v>99999999</v>
      </c>
      <c r="R37" s="35">
        <v>784</v>
      </c>
    </row>
    <row r="38" spans="1:18" x14ac:dyDescent="0.3">
      <c r="A38" s="32">
        <v>58</v>
      </c>
      <c r="B38" s="33" t="s">
        <v>42</v>
      </c>
      <c r="C38" s="33" t="s">
        <v>21</v>
      </c>
      <c r="D38" s="33" t="s">
        <v>26</v>
      </c>
      <c r="E38" s="33">
        <v>3.1829176999744901</v>
      </c>
      <c r="F38" s="34">
        <v>60000</v>
      </c>
      <c r="G38" s="34">
        <v>10000</v>
      </c>
      <c r="H38" s="33">
        <v>13.087954299990001</v>
      </c>
      <c r="I38" s="34">
        <v>9628</v>
      </c>
      <c r="J38" s="34">
        <v>372</v>
      </c>
      <c r="K38" s="33">
        <v>0.96279999999999999</v>
      </c>
      <c r="L38" s="33">
        <v>0.96247645848288299</v>
      </c>
      <c r="M38" s="33">
        <v>0.962339777322335</v>
      </c>
      <c r="N38" s="33">
        <v>0.96238225770232999</v>
      </c>
      <c r="O38" s="33">
        <v>0.228580506497157</v>
      </c>
      <c r="P38" s="34">
        <v>7</v>
      </c>
      <c r="Q38" s="34">
        <v>99999999</v>
      </c>
      <c r="R38" s="35">
        <v>43</v>
      </c>
    </row>
    <row r="39" spans="1:18" x14ac:dyDescent="0.3">
      <c r="A39" s="32">
        <v>50</v>
      </c>
      <c r="B39" s="33" t="s">
        <v>42</v>
      </c>
      <c r="C39" s="33" t="s">
        <v>21</v>
      </c>
      <c r="D39" s="33" t="s">
        <v>25</v>
      </c>
      <c r="E39" s="33">
        <v>2.0146149000502098</v>
      </c>
      <c r="F39" s="34">
        <v>60000</v>
      </c>
      <c r="G39" s="34">
        <v>10000</v>
      </c>
      <c r="H39" s="33">
        <v>10.9653137000277</v>
      </c>
      <c r="I39" s="34">
        <v>8798</v>
      </c>
      <c r="J39" s="34">
        <v>1202</v>
      </c>
      <c r="K39" s="33">
        <v>0.87980000000000003</v>
      </c>
      <c r="L39" s="33">
        <v>0.87814165133223998</v>
      </c>
      <c r="M39" s="33">
        <v>0.87779192174805198</v>
      </c>
      <c r="N39" s="33">
        <v>0.87787396376087301</v>
      </c>
      <c r="O39" s="33">
        <v>0.5</v>
      </c>
      <c r="P39" s="34">
        <v>7</v>
      </c>
      <c r="Q39" s="34">
        <v>99999999</v>
      </c>
      <c r="R39" s="35">
        <v>9</v>
      </c>
    </row>
    <row r="40" spans="1:18" x14ac:dyDescent="0.3">
      <c r="A40" s="32">
        <v>46</v>
      </c>
      <c r="B40" s="33" t="s">
        <v>42</v>
      </c>
      <c r="C40" s="33" t="s">
        <v>21</v>
      </c>
      <c r="D40" s="33" t="s">
        <v>24</v>
      </c>
      <c r="E40" s="33">
        <v>5.1900634000194197</v>
      </c>
      <c r="F40" s="34">
        <v>60000</v>
      </c>
      <c r="G40" s="34">
        <v>10000</v>
      </c>
      <c r="H40" s="33">
        <v>11.598062700009899</v>
      </c>
      <c r="I40" s="34">
        <v>8628</v>
      </c>
      <c r="J40" s="34">
        <v>1372</v>
      </c>
      <c r="K40" s="33">
        <v>0.86280000000000001</v>
      </c>
      <c r="L40" s="33">
        <v>0.85975156566412003</v>
      </c>
      <c r="M40" s="33">
        <v>0.85968164263876101</v>
      </c>
      <c r="N40" s="33">
        <v>0.85949102584179105</v>
      </c>
      <c r="O40" s="33">
        <v>0.5</v>
      </c>
      <c r="P40" s="34">
        <v>7</v>
      </c>
      <c r="Q40" s="34">
        <v>99999999</v>
      </c>
      <c r="R40" s="35">
        <v>43</v>
      </c>
    </row>
    <row r="41" spans="1:18" x14ac:dyDescent="0.3">
      <c r="A41" s="32">
        <v>54</v>
      </c>
      <c r="B41" s="33" t="s">
        <v>42</v>
      </c>
      <c r="C41" s="33" t="s">
        <v>21</v>
      </c>
      <c r="D41" s="33" t="s">
        <v>39</v>
      </c>
      <c r="E41" s="33">
        <v>7.0378038000199004</v>
      </c>
      <c r="F41" s="34">
        <v>60000</v>
      </c>
      <c r="G41" s="34">
        <v>10000</v>
      </c>
      <c r="H41" s="33">
        <v>138.46523709996799</v>
      </c>
      <c r="I41" s="34">
        <v>8774</v>
      </c>
      <c r="J41" s="34">
        <v>1226</v>
      </c>
      <c r="K41" s="33">
        <v>0.87739999999999996</v>
      </c>
      <c r="L41" s="33">
        <v>0.88866193242667002</v>
      </c>
      <c r="M41" s="33">
        <v>0.87561339939360106</v>
      </c>
      <c r="N41" s="33">
        <v>0.87766152320636104</v>
      </c>
      <c r="O41" s="33">
        <v>0.5</v>
      </c>
      <c r="P41" s="34">
        <v>7</v>
      </c>
      <c r="Q41" s="34">
        <v>99999999</v>
      </c>
      <c r="R41" s="35">
        <v>43</v>
      </c>
    </row>
    <row r="42" spans="1:18" x14ac:dyDescent="0.3">
      <c r="A42" s="28">
        <v>61</v>
      </c>
      <c r="B42" s="29" t="s">
        <v>43</v>
      </c>
      <c r="C42" s="29" t="s">
        <v>19</v>
      </c>
      <c r="D42" s="29" t="s">
        <v>20</v>
      </c>
      <c r="E42" s="29">
        <v>3.6236700019799097E-2</v>
      </c>
      <c r="F42" s="30">
        <v>60000</v>
      </c>
      <c r="G42" s="30">
        <v>10000</v>
      </c>
      <c r="H42" s="29">
        <v>15.9883077999693</v>
      </c>
      <c r="I42" s="30">
        <v>9077</v>
      </c>
      <c r="J42" s="30">
        <v>923</v>
      </c>
      <c r="K42" s="29">
        <v>0.90769999999999995</v>
      </c>
      <c r="L42" s="29">
        <v>0.92109154330946796</v>
      </c>
      <c r="M42" s="29">
        <v>0.90655200140578296</v>
      </c>
      <c r="N42" s="29">
        <v>0.91006708690754101</v>
      </c>
      <c r="O42" s="29">
        <v>0.5</v>
      </c>
      <c r="P42" s="30">
        <v>7</v>
      </c>
      <c r="Q42" s="30">
        <v>99999999</v>
      </c>
      <c r="R42" s="31">
        <v>784</v>
      </c>
    </row>
    <row r="43" spans="1:18" x14ac:dyDescent="0.3">
      <c r="A43" s="28">
        <v>77</v>
      </c>
      <c r="B43" s="29" t="s">
        <v>43</v>
      </c>
      <c r="C43" s="29" t="s">
        <v>19</v>
      </c>
      <c r="D43" s="29" t="s">
        <v>26</v>
      </c>
      <c r="E43" s="29">
        <v>3.5953000187873801E-3</v>
      </c>
      <c r="F43" s="30">
        <v>60000</v>
      </c>
      <c r="G43" s="30">
        <v>10000</v>
      </c>
      <c r="H43" s="29">
        <v>9.5249672000063494</v>
      </c>
      <c r="I43" s="30">
        <v>9262</v>
      </c>
      <c r="J43" s="30">
        <v>738</v>
      </c>
      <c r="K43" s="29">
        <v>0.92620000000000002</v>
      </c>
      <c r="L43" s="29">
        <v>0.92667805070232501</v>
      </c>
      <c r="M43" s="29">
        <v>0.92487610216378502</v>
      </c>
      <c r="N43" s="29">
        <v>0.92527580026717504</v>
      </c>
      <c r="O43" s="29">
        <v>0.228580506497157</v>
      </c>
      <c r="P43" s="30">
        <v>7</v>
      </c>
      <c r="Q43" s="30">
        <v>99999999</v>
      </c>
      <c r="R43" s="31">
        <v>43</v>
      </c>
    </row>
    <row r="44" spans="1:18" x14ac:dyDescent="0.3">
      <c r="A44" s="28">
        <v>69</v>
      </c>
      <c r="B44" s="29" t="s">
        <v>43</v>
      </c>
      <c r="C44" s="29" t="s">
        <v>19</v>
      </c>
      <c r="D44" s="29" t="s">
        <v>25</v>
      </c>
      <c r="E44" s="29">
        <v>7.1276900009252103E-2</v>
      </c>
      <c r="F44" s="30">
        <v>60000</v>
      </c>
      <c r="G44" s="30">
        <v>10000</v>
      </c>
      <c r="H44" s="29">
        <v>10.189305500010899</v>
      </c>
      <c r="I44" s="30">
        <v>9062</v>
      </c>
      <c r="J44" s="30">
        <v>938</v>
      </c>
      <c r="K44" s="29">
        <v>0.90620000000000001</v>
      </c>
      <c r="L44" s="29">
        <v>0.90477270633737295</v>
      </c>
      <c r="M44" s="29">
        <v>0.90467834354201904</v>
      </c>
      <c r="N44" s="29">
        <v>0.90449210775218103</v>
      </c>
      <c r="O44" s="29">
        <v>0.5</v>
      </c>
      <c r="P44" s="30">
        <v>7</v>
      </c>
      <c r="Q44" s="30">
        <v>99999999</v>
      </c>
      <c r="R44" s="31">
        <v>9</v>
      </c>
    </row>
    <row r="45" spans="1:18" x14ac:dyDescent="0.3">
      <c r="A45" s="28">
        <v>65</v>
      </c>
      <c r="B45" s="29" t="s">
        <v>43</v>
      </c>
      <c r="C45" s="29" t="s">
        <v>19</v>
      </c>
      <c r="D45" s="29" t="s">
        <v>24</v>
      </c>
      <c r="E45" s="29">
        <v>4.0647999849170403E-3</v>
      </c>
      <c r="F45" s="30">
        <v>60000</v>
      </c>
      <c r="G45" s="30">
        <v>10000</v>
      </c>
      <c r="H45" s="29">
        <v>7.4111238000332298</v>
      </c>
      <c r="I45" s="30">
        <v>9628</v>
      </c>
      <c r="J45" s="30">
        <v>372</v>
      </c>
      <c r="K45" s="29">
        <v>0.96279999999999999</v>
      </c>
      <c r="L45" s="29">
        <v>0.96347131635744598</v>
      </c>
      <c r="M45" s="29">
        <v>0.96242726873072404</v>
      </c>
      <c r="N45" s="29">
        <v>0.96275609891507696</v>
      </c>
      <c r="O45" s="29">
        <v>0.5</v>
      </c>
      <c r="P45" s="30">
        <v>7</v>
      </c>
      <c r="Q45" s="30">
        <v>99999999</v>
      </c>
      <c r="R45" s="31">
        <v>43</v>
      </c>
    </row>
    <row r="46" spans="1:18" x14ac:dyDescent="0.3">
      <c r="A46" s="28">
        <v>73</v>
      </c>
      <c r="B46" s="29" t="s">
        <v>43</v>
      </c>
      <c r="C46" s="29" t="s">
        <v>19</v>
      </c>
      <c r="D46" s="29" t="s">
        <v>39</v>
      </c>
      <c r="E46" s="29">
        <v>3.9832000038586496E-3</v>
      </c>
      <c r="F46" s="30">
        <v>60000</v>
      </c>
      <c r="G46" s="30">
        <v>10000</v>
      </c>
      <c r="H46" s="29">
        <v>106.218257799977</v>
      </c>
      <c r="I46" s="30">
        <v>9266</v>
      </c>
      <c r="J46" s="30">
        <v>734</v>
      </c>
      <c r="K46" s="29">
        <v>0.92659999999999998</v>
      </c>
      <c r="L46" s="29">
        <v>0.93205345728743705</v>
      </c>
      <c r="M46" s="29">
        <v>0.92598987415743705</v>
      </c>
      <c r="N46" s="29">
        <v>0.92752475119783095</v>
      </c>
      <c r="O46" s="29">
        <v>0.5</v>
      </c>
      <c r="P46" s="30">
        <v>7</v>
      </c>
      <c r="Q46" s="30">
        <v>99999999</v>
      </c>
      <c r="R46" s="31">
        <v>43</v>
      </c>
    </row>
    <row r="47" spans="1:18" x14ac:dyDescent="0.3">
      <c r="A47" s="28">
        <v>63</v>
      </c>
      <c r="B47" s="29" t="s">
        <v>43</v>
      </c>
      <c r="C47" s="29" t="s">
        <v>22</v>
      </c>
      <c r="D47" s="29" t="s">
        <v>20</v>
      </c>
      <c r="E47" s="29">
        <v>133.779691000003</v>
      </c>
      <c r="F47" s="30">
        <v>60000</v>
      </c>
      <c r="G47" s="30">
        <v>10000</v>
      </c>
      <c r="H47" s="29">
        <v>145.04199019999899</v>
      </c>
      <c r="I47" s="30">
        <v>9733</v>
      </c>
      <c r="J47" s="30">
        <v>267</v>
      </c>
      <c r="K47" s="29">
        <v>0.97330000000000005</v>
      </c>
      <c r="L47" s="29">
        <v>0.97324045250675295</v>
      </c>
      <c r="M47" s="29">
        <v>0.97312107313702401</v>
      </c>
      <c r="N47" s="29">
        <v>0.97316334860081699</v>
      </c>
      <c r="O47" s="29">
        <v>0.5</v>
      </c>
      <c r="P47" s="30">
        <v>7</v>
      </c>
      <c r="Q47" s="30">
        <v>99999999</v>
      </c>
      <c r="R47" s="31">
        <v>784</v>
      </c>
    </row>
    <row r="48" spans="1:18" x14ac:dyDescent="0.3">
      <c r="A48" s="28">
        <v>79</v>
      </c>
      <c r="B48" s="29" t="s">
        <v>43</v>
      </c>
      <c r="C48" s="29" t="s">
        <v>22</v>
      </c>
      <c r="D48" s="29" t="s">
        <v>26</v>
      </c>
      <c r="E48" s="29">
        <v>710.94932489999303</v>
      </c>
      <c r="F48" s="30">
        <v>60000</v>
      </c>
      <c r="G48" s="30">
        <v>10000</v>
      </c>
      <c r="H48" s="29">
        <v>719.90459540003201</v>
      </c>
      <c r="I48" s="30">
        <v>9623</v>
      </c>
      <c r="J48" s="30">
        <v>377</v>
      </c>
      <c r="K48" s="29">
        <v>0.96230000000000004</v>
      </c>
      <c r="L48" s="29">
        <v>0.96199538985500499</v>
      </c>
      <c r="M48" s="29">
        <v>0.96202423925174896</v>
      </c>
      <c r="N48" s="29">
        <v>0.96196649407611701</v>
      </c>
      <c r="O48" s="29">
        <v>0.228580506497157</v>
      </c>
      <c r="P48" s="30">
        <v>7</v>
      </c>
      <c r="Q48" s="30">
        <v>99999999</v>
      </c>
      <c r="R48" s="31">
        <v>43</v>
      </c>
    </row>
    <row r="49" spans="1:18" x14ac:dyDescent="0.3">
      <c r="A49" s="28">
        <v>71</v>
      </c>
      <c r="B49" s="29" t="s">
        <v>43</v>
      </c>
      <c r="C49" s="29" t="s">
        <v>22</v>
      </c>
      <c r="D49" s="29" t="s">
        <v>25</v>
      </c>
      <c r="E49" s="29">
        <v>296.37141100002901</v>
      </c>
      <c r="F49" s="30">
        <v>60000</v>
      </c>
      <c r="G49" s="30">
        <v>10000</v>
      </c>
      <c r="H49" s="29">
        <v>305.92456109996402</v>
      </c>
      <c r="I49" s="30">
        <v>8955</v>
      </c>
      <c r="J49" s="30">
        <v>1045</v>
      </c>
      <c r="K49" s="29">
        <v>0.89549999999999996</v>
      </c>
      <c r="L49" s="29">
        <v>0.894731664286321</v>
      </c>
      <c r="M49" s="29">
        <v>0.89392470466545104</v>
      </c>
      <c r="N49" s="29">
        <v>0.89411505252135104</v>
      </c>
      <c r="O49" s="29">
        <v>0.5</v>
      </c>
      <c r="P49" s="30">
        <v>7</v>
      </c>
      <c r="Q49" s="30">
        <v>99999999</v>
      </c>
      <c r="R49" s="31">
        <v>9</v>
      </c>
    </row>
    <row r="50" spans="1:18" x14ac:dyDescent="0.3">
      <c r="A50" s="28">
        <v>67</v>
      </c>
      <c r="B50" s="29" t="s">
        <v>43</v>
      </c>
      <c r="C50" s="29" t="s">
        <v>22</v>
      </c>
      <c r="D50" s="29" t="s">
        <v>24</v>
      </c>
      <c r="E50" s="29">
        <v>34.267269199946803</v>
      </c>
      <c r="F50" s="30">
        <v>60000</v>
      </c>
      <c r="G50" s="30">
        <v>10000</v>
      </c>
      <c r="H50" s="29">
        <v>41.2129319999949</v>
      </c>
      <c r="I50" s="30">
        <v>9550</v>
      </c>
      <c r="J50" s="30">
        <v>450</v>
      </c>
      <c r="K50" s="29">
        <v>0.95499999999999996</v>
      </c>
      <c r="L50" s="29">
        <v>0.95654625242985902</v>
      </c>
      <c r="M50" s="29">
        <v>0.95471587861879403</v>
      </c>
      <c r="N50" s="29">
        <v>0.95503410438495595</v>
      </c>
      <c r="O50" s="29">
        <v>0.5</v>
      </c>
      <c r="P50" s="30">
        <v>7</v>
      </c>
      <c r="Q50" s="30">
        <v>99999999</v>
      </c>
      <c r="R50" s="31">
        <v>43</v>
      </c>
    </row>
    <row r="51" spans="1:18" x14ac:dyDescent="0.3">
      <c r="A51" s="28">
        <v>75</v>
      </c>
      <c r="B51" s="29" t="s">
        <v>43</v>
      </c>
      <c r="C51" s="29" t="s">
        <v>22</v>
      </c>
      <c r="D51" s="29" t="s">
        <v>39</v>
      </c>
      <c r="E51" s="29">
        <v>73.610164100013193</v>
      </c>
      <c r="F51" s="30">
        <v>60000</v>
      </c>
      <c r="G51" s="30">
        <v>10000</v>
      </c>
      <c r="H51" s="29">
        <v>178.70901420002301</v>
      </c>
      <c r="I51" s="30">
        <v>9245</v>
      </c>
      <c r="J51" s="30">
        <v>755</v>
      </c>
      <c r="K51" s="29">
        <v>0.92449999999999999</v>
      </c>
      <c r="L51" s="29">
        <v>0.93053659469981798</v>
      </c>
      <c r="M51" s="29">
        <v>0.92378512149835801</v>
      </c>
      <c r="N51" s="29">
        <v>0.92541138930928402</v>
      </c>
      <c r="O51" s="29">
        <v>0.5</v>
      </c>
      <c r="P51" s="30">
        <v>7</v>
      </c>
      <c r="Q51" s="30">
        <v>99999999</v>
      </c>
      <c r="R51" s="31">
        <v>43</v>
      </c>
    </row>
    <row r="52" spans="1:18" x14ac:dyDescent="0.3">
      <c r="A52" s="32">
        <v>64</v>
      </c>
      <c r="B52" s="33" t="s">
        <v>43</v>
      </c>
      <c r="C52" s="33" t="s">
        <v>23</v>
      </c>
      <c r="D52" s="33" t="s">
        <v>20</v>
      </c>
      <c r="E52" s="33">
        <v>236.789619499992</v>
      </c>
      <c r="F52" s="34">
        <v>60000</v>
      </c>
      <c r="G52" s="34">
        <v>10000</v>
      </c>
      <c r="H52" s="33">
        <v>330.55141920002598</v>
      </c>
      <c r="I52" s="34">
        <v>9671</v>
      </c>
      <c r="J52" s="34">
        <v>329</v>
      </c>
      <c r="K52" s="33">
        <v>0.96709999999999996</v>
      </c>
      <c r="L52" s="33">
        <v>0.96695475633518102</v>
      </c>
      <c r="M52" s="33">
        <v>0.966816569416452</v>
      </c>
      <c r="N52" s="33">
        <v>0.966862832728132</v>
      </c>
      <c r="O52" s="33">
        <v>0.5</v>
      </c>
      <c r="P52" s="34">
        <v>7</v>
      </c>
      <c r="Q52" s="34">
        <v>99999999</v>
      </c>
      <c r="R52" s="35">
        <v>784</v>
      </c>
    </row>
    <row r="53" spans="1:18" x14ac:dyDescent="0.3">
      <c r="A53" s="32">
        <v>80</v>
      </c>
      <c r="B53" s="33" t="s">
        <v>43</v>
      </c>
      <c r="C53" s="33" t="s">
        <v>23</v>
      </c>
      <c r="D53" s="33" t="s">
        <v>26</v>
      </c>
      <c r="E53" s="33">
        <v>22.589367499982401</v>
      </c>
      <c r="F53" s="34">
        <v>60000</v>
      </c>
      <c r="G53" s="34">
        <v>10000</v>
      </c>
      <c r="H53" s="33">
        <v>42.714713099994697</v>
      </c>
      <c r="I53" s="34">
        <v>9488</v>
      </c>
      <c r="J53" s="34">
        <v>512</v>
      </c>
      <c r="K53" s="33">
        <v>0.94879999999999998</v>
      </c>
      <c r="L53" s="33">
        <v>0.94876611741323502</v>
      </c>
      <c r="M53" s="33">
        <v>0.94809786355662995</v>
      </c>
      <c r="N53" s="33">
        <v>0.94829698669489104</v>
      </c>
      <c r="O53" s="33">
        <v>0.228580506497157</v>
      </c>
      <c r="P53" s="34">
        <v>7</v>
      </c>
      <c r="Q53" s="34">
        <v>99999999</v>
      </c>
      <c r="R53" s="35">
        <v>43</v>
      </c>
    </row>
    <row r="54" spans="1:18" x14ac:dyDescent="0.3">
      <c r="A54" s="32">
        <v>72</v>
      </c>
      <c r="B54" s="33" t="s">
        <v>43</v>
      </c>
      <c r="C54" s="33" t="s">
        <v>23</v>
      </c>
      <c r="D54" s="33" t="s">
        <v>25</v>
      </c>
      <c r="E54" s="33">
        <v>10.1369216999737</v>
      </c>
      <c r="F54" s="34">
        <v>60000</v>
      </c>
      <c r="G54" s="34">
        <v>10000</v>
      </c>
      <c r="H54" s="33">
        <v>28.9332914999686</v>
      </c>
      <c r="I54" s="34">
        <v>9123</v>
      </c>
      <c r="J54" s="34">
        <v>877</v>
      </c>
      <c r="K54" s="33">
        <v>0.9123</v>
      </c>
      <c r="L54" s="33">
        <v>0.91131764485831201</v>
      </c>
      <c r="M54" s="33">
        <v>0.91127542304269504</v>
      </c>
      <c r="N54" s="33">
        <v>0.91115049773670198</v>
      </c>
      <c r="O54" s="33">
        <v>0.5</v>
      </c>
      <c r="P54" s="34">
        <v>7</v>
      </c>
      <c r="Q54" s="34">
        <v>99999999</v>
      </c>
      <c r="R54" s="35">
        <v>9</v>
      </c>
    </row>
    <row r="55" spans="1:18" x14ac:dyDescent="0.3">
      <c r="A55" s="32">
        <v>68</v>
      </c>
      <c r="B55" s="33" t="s">
        <v>43</v>
      </c>
      <c r="C55" s="33" t="s">
        <v>23</v>
      </c>
      <c r="D55" s="33" t="s">
        <v>24</v>
      </c>
      <c r="E55" s="33">
        <v>24.341961099999001</v>
      </c>
      <c r="F55" s="34">
        <v>60000</v>
      </c>
      <c r="G55" s="34">
        <v>10000</v>
      </c>
      <c r="H55" s="33">
        <v>41.179650400008498</v>
      </c>
      <c r="I55" s="34">
        <v>9776</v>
      </c>
      <c r="J55" s="34">
        <v>224</v>
      </c>
      <c r="K55" s="33">
        <v>0.97760000000000002</v>
      </c>
      <c r="L55" s="33">
        <v>0.97758707219117102</v>
      </c>
      <c r="M55" s="33">
        <v>0.97743508973889304</v>
      </c>
      <c r="N55" s="33">
        <v>0.97749961859092405</v>
      </c>
      <c r="O55" s="33">
        <v>0.5</v>
      </c>
      <c r="P55" s="34">
        <v>7</v>
      </c>
      <c r="Q55" s="34">
        <v>99999999</v>
      </c>
      <c r="R55" s="35">
        <v>43</v>
      </c>
    </row>
    <row r="56" spans="1:18" x14ac:dyDescent="0.3">
      <c r="A56" s="32">
        <v>76</v>
      </c>
      <c r="B56" s="33" t="s">
        <v>43</v>
      </c>
      <c r="C56" s="33" t="s">
        <v>23</v>
      </c>
      <c r="D56" s="33" t="s">
        <v>39</v>
      </c>
      <c r="E56" s="33">
        <v>19.720122999977299</v>
      </c>
      <c r="F56" s="34">
        <v>60000</v>
      </c>
      <c r="G56" s="34">
        <v>10000</v>
      </c>
      <c r="H56" s="33">
        <v>130.207154700008</v>
      </c>
      <c r="I56" s="34">
        <v>9256</v>
      </c>
      <c r="J56" s="34">
        <v>744</v>
      </c>
      <c r="K56" s="33">
        <v>0.92559999999999998</v>
      </c>
      <c r="L56" s="33">
        <v>0.93199042968644996</v>
      </c>
      <c r="M56" s="33">
        <v>0.92489396919854405</v>
      </c>
      <c r="N56" s="33">
        <v>0.92657319634722302</v>
      </c>
      <c r="O56" s="33">
        <v>0.5</v>
      </c>
      <c r="P56" s="34">
        <v>7</v>
      </c>
      <c r="Q56" s="34">
        <v>99999999</v>
      </c>
      <c r="R56" s="35">
        <v>43</v>
      </c>
    </row>
    <row r="57" spans="1:18" x14ac:dyDescent="0.3">
      <c r="A57" s="32">
        <v>62</v>
      </c>
      <c r="B57" s="33" t="s">
        <v>43</v>
      </c>
      <c r="C57" s="33" t="s">
        <v>21</v>
      </c>
      <c r="D57" s="33" t="s">
        <v>20</v>
      </c>
      <c r="E57" s="33">
        <v>25.708195500017599</v>
      </c>
      <c r="F57" s="34">
        <v>60000</v>
      </c>
      <c r="G57" s="34">
        <v>10000</v>
      </c>
      <c r="H57" s="33">
        <v>36.642357700038701</v>
      </c>
      <c r="I57" s="34">
        <v>9575</v>
      </c>
      <c r="J57" s="34">
        <v>425</v>
      </c>
      <c r="K57" s="33">
        <v>0.95750000000000002</v>
      </c>
      <c r="L57" s="33">
        <v>0.95733471179773399</v>
      </c>
      <c r="M57" s="33">
        <v>0.957145154496571</v>
      </c>
      <c r="N57" s="33">
        <v>0.95721095938533596</v>
      </c>
      <c r="O57" s="33">
        <v>0.5</v>
      </c>
      <c r="P57" s="34">
        <v>7</v>
      </c>
      <c r="Q57" s="34">
        <v>99999999</v>
      </c>
      <c r="R57" s="35">
        <v>784</v>
      </c>
    </row>
    <row r="58" spans="1:18" x14ac:dyDescent="0.3">
      <c r="A58" s="32">
        <v>78</v>
      </c>
      <c r="B58" s="33" t="s">
        <v>43</v>
      </c>
      <c r="C58" s="33" t="s">
        <v>21</v>
      </c>
      <c r="D58" s="33" t="s">
        <v>26</v>
      </c>
      <c r="E58" s="33">
        <v>2.6729617000091799</v>
      </c>
      <c r="F58" s="34">
        <v>60000</v>
      </c>
      <c r="G58" s="34">
        <v>10000</v>
      </c>
      <c r="H58" s="33">
        <v>11.7506397999823</v>
      </c>
      <c r="I58" s="34">
        <v>9569</v>
      </c>
      <c r="J58" s="34">
        <v>431</v>
      </c>
      <c r="K58" s="33">
        <v>0.95689999999999997</v>
      </c>
      <c r="L58" s="33">
        <v>0.95664333193639695</v>
      </c>
      <c r="M58" s="33">
        <v>0.95649795864515896</v>
      </c>
      <c r="N58" s="33">
        <v>0.95652415886849795</v>
      </c>
      <c r="O58" s="33">
        <v>0.228580506497157</v>
      </c>
      <c r="P58" s="34">
        <v>7</v>
      </c>
      <c r="Q58" s="34">
        <v>99999999</v>
      </c>
      <c r="R58" s="35">
        <v>43</v>
      </c>
    </row>
    <row r="59" spans="1:18" x14ac:dyDescent="0.3">
      <c r="A59" s="32">
        <v>70</v>
      </c>
      <c r="B59" s="33" t="s">
        <v>43</v>
      </c>
      <c r="C59" s="33" t="s">
        <v>21</v>
      </c>
      <c r="D59" s="33" t="s">
        <v>25</v>
      </c>
      <c r="E59" s="33">
        <v>2.4170120999915499</v>
      </c>
      <c r="F59" s="34">
        <v>60000</v>
      </c>
      <c r="G59" s="34">
        <v>10000</v>
      </c>
      <c r="H59" s="33">
        <v>11.8749600999872</v>
      </c>
      <c r="I59" s="34">
        <v>9044</v>
      </c>
      <c r="J59" s="34">
        <v>956</v>
      </c>
      <c r="K59" s="33">
        <v>0.90439999999999998</v>
      </c>
      <c r="L59" s="33">
        <v>0.90321644143120705</v>
      </c>
      <c r="M59" s="33">
        <v>0.90321470703161499</v>
      </c>
      <c r="N59" s="33">
        <v>0.90308116288763196</v>
      </c>
      <c r="O59" s="33">
        <v>0.5</v>
      </c>
      <c r="P59" s="34">
        <v>7</v>
      </c>
      <c r="Q59" s="34">
        <v>99999999</v>
      </c>
      <c r="R59" s="35">
        <v>9</v>
      </c>
    </row>
    <row r="60" spans="1:18" x14ac:dyDescent="0.3">
      <c r="A60" s="32">
        <v>66</v>
      </c>
      <c r="B60" s="33" t="s">
        <v>43</v>
      </c>
      <c r="C60" s="33" t="s">
        <v>21</v>
      </c>
      <c r="D60" s="33" t="s">
        <v>24</v>
      </c>
      <c r="E60" s="33">
        <v>5.98476870002923</v>
      </c>
      <c r="F60" s="34">
        <v>60000</v>
      </c>
      <c r="G60" s="34">
        <v>10000</v>
      </c>
      <c r="H60" s="33">
        <v>12.797458600020001</v>
      </c>
      <c r="I60" s="34">
        <v>9420</v>
      </c>
      <c r="J60" s="34">
        <v>580</v>
      </c>
      <c r="K60" s="33">
        <v>0.94199999999999995</v>
      </c>
      <c r="L60" s="33">
        <v>0.94125479902376297</v>
      </c>
      <c r="M60" s="33">
        <v>0.94146192841696197</v>
      </c>
      <c r="N60" s="33">
        <v>0.94131554845900001</v>
      </c>
      <c r="O60" s="33">
        <v>0.5</v>
      </c>
      <c r="P60" s="34">
        <v>7</v>
      </c>
      <c r="Q60" s="34">
        <v>99999999</v>
      </c>
      <c r="R60" s="35">
        <v>43</v>
      </c>
    </row>
    <row r="61" spans="1:18" x14ac:dyDescent="0.3">
      <c r="A61" s="32">
        <v>74</v>
      </c>
      <c r="B61" s="33" t="s">
        <v>43</v>
      </c>
      <c r="C61" s="33" t="s">
        <v>21</v>
      </c>
      <c r="D61" s="33" t="s">
        <v>39</v>
      </c>
      <c r="E61" s="33">
        <v>4.6536691000219399</v>
      </c>
      <c r="F61" s="34">
        <v>60000</v>
      </c>
      <c r="G61" s="34">
        <v>10000</v>
      </c>
      <c r="H61" s="33">
        <v>111.082101700012</v>
      </c>
      <c r="I61" s="34">
        <v>9296</v>
      </c>
      <c r="J61" s="34">
        <v>704</v>
      </c>
      <c r="K61" s="33">
        <v>0.92959999999999998</v>
      </c>
      <c r="L61" s="33">
        <v>0.93493627986890604</v>
      </c>
      <c r="M61" s="33">
        <v>0.92895364359002497</v>
      </c>
      <c r="N61" s="33">
        <v>0.93048920538631896</v>
      </c>
      <c r="O61" s="33">
        <v>0.5</v>
      </c>
      <c r="P61" s="34">
        <v>7</v>
      </c>
      <c r="Q61" s="34">
        <v>99999999</v>
      </c>
      <c r="R61" s="35">
        <v>43</v>
      </c>
    </row>
    <row r="62" spans="1:18" x14ac:dyDescent="0.3">
      <c r="A62" s="28">
        <v>81</v>
      </c>
      <c r="B62" s="29" t="s">
        <v>44</v>
      </c>
      <c r="C62" s="29" t="s">
        <v>19</v>
      </c>
      <c r="D62" s="29" t="s">
        <v>20</v>
      </c>
      <c r="E62" s="29">
        <v>3.3585199969820602E-2</v>
      </c>
      <c r="F62" s="30">
        <v>60000</v>
      </c>
      <c r="G62" s="30">
        <v>10000</v>
      </c>
      <c r="H62" s="29">
        <v>15.0002170000225</v>
      </c>
      <c r="I62" s="30">
        <v>5264</v>
      </c>
      <c r="J62" s="30">
        <v>4736</v>
      </c>
      <c r="K62" s="29">
        <v>0.52639999999999998</v>
      </c>
      <c r="L62" s="29">
        <v>0.61145756518732197</v>
      </c>
      <c r="M62" s="29">
        <v>0.52170367192266898</v>
      </c>
      <c r="N62" s="29">
        <v>0.53727279568530695</v>
      </c>
      <c r="O62" s="29">
        <v>0.5</v>
      </c>
      <c r="P62" s="30">
        <v>7</v>
      </c>
      <c r="Q62" s="30">
        <v>99999999</v>
      </c>
      <c r="R62" s="31">
        <v>784</v>
      </c>
    </row>
    <row r="63" spans="1:18" x14ac:dyDescent="0.3">
      <c r="A63" s="28">
        <v>97</v>
      </c>
      <c r="B63" s="29" t="s">
        <v>44</v>
      </c>
      <c r="C63" s="29" t="s">
        <v>19</v>
      </c>
      <c r="D63" s="29" t="s">
        <v>26</v>
      </c>
      <c r="E63" s="29">
        <v>4.1412999853491696E-3</v>
      </c>
      <c r="F63" s="30">
        <v>60000</v>
      </c>
      <c r="G63" s="30">
        <v>10000</v>
      </c>
      <c r="H63" s="29">
        <v>8.0803626999841001</v>
      </c>
      <c r="I63" s="30">
        <v>2238</v>
      </c>
      <c r="J63" s="30">
        <v>7762</v>
      </c>
      <c r="K63" s="29">
        <v>0.2238</v>
      </c>
      <c r="L63" s="29">
        <v>0.40147901341557102</v>
      </c>
      <c r="M63" s="29">
        <v>0.223529760507956</v>
      </c>
      <c r="N63" s="29">
        <v>0.22710776344382699</v>
      </c>
      <c r="O63" s="29">
        <v>0.228580506497157</v>
      </c>
      <c r="P63" s="30">
        <v>7</v>
      </c>
      <c r="Q63" s="30">
        <v>99999999</v>
      </c>
      <c r="R63" s="31">
        <v>43</v>
      </c>
    </row>
    <row r="64" spans="1:18" x14ac:dyDescent="0.3">
      <c r="A64" s="28">
        <v>89</v>
      </c>
      <c r="B64" s="29" t="s">
        <v>44</v>
      </c>
      <c r="C64" s="29" t="s">
        <v>19</v>
      </c>
      <c r="D64" s="29" t="s">
        <v>25</v>
      </c>
      <c r="E64" s="29">
        <v>0.12983930000336799</v>
      </c>
      <c r="F64" s="30">
        <v>60000</v>
      </c>
      <c r="G64" s="30">
        <v>10000</v>
      </c>
      <c r="H64" s="29">
        <v>10.957091599993801</v>
      </c>
      <c r="I64" s="30">
        <v>9012</v>
      </c>
      <c r="J64" s="30">
        <v>988</v>
      </c>
      <c r="K64" s="29">
        <v>0.9012</v>
      </c>
      <c r="L64" s="29">
        <v>0.90004316972441301</v>
      </c>
      <c r="M64" s="29">
        <v>0.89963519072431797</v>
      </c>
      <c r="N64" s="29">
        <v>0.89950059140556704</v>
      </c>
      <c r="O64" s="29">
        <v>0.5</v>
      </c>
      <c r="P64" s="30">
        <v>7</v>
      </c>
      <c r="Q64" s="30">
        <v>99999999</v>
      </c>
      <c r="R64" s="31">
        <v>9</v>
      </c>
    </row>
    <row r="65" spans="1:18" x14ac:dyDescent="0.3">
      <c r="A65" s="28">
        <v>85</v>
      </c>
      <c r="B65" s="29" t="s">
        <v>44</v>
      </c>
      <c r="C65" s="29" t="s">
        <v>19</v>
      </c>
      <c r="D65" s="29" t="s">
        <v>24</v>
      </c>
      <c r="E65" s="29">
        <v>3.8111000321805399E-3</v>
      </c>
      <c r="F65" s="30">
        <v>60000</v>
      </c>
      <c r="G65" s="30">
        <v>10000</v>
      </c>
      <c r="H65" s="29">
        <v>7.4266041000373599</v>
      </c>
      <c r="I65" s="30">
        <v>8901</v>
      </c>
      <c r="J65" s="30">
        <v>1099</v>
      </c>
      <c r="K65" s="29">
        <v>0.8901</v>
      </c>
      <c r="L65" s="29">
        <v>0.89371697883441903</v>
      </c>
      <c r="M65" s="29">
        <v>0.88871185586338797</v>
      </c>
      <c r="N65" s="29">
        <v>0.88963194721929795</v>
      </c>
      <c r="O65" s="29">
        <v>0.5</v>
      </c>
      <c r="P65" s="30">
        <v>7</v>
      </c>
      <c r="Q65" s="30">
        <v>99999999</v>
      </c>
      <c r="R65" s="31">
        <v>43</v>
      </c>
    </row>
    <row r="66" spans="1:18" x14ac:dyDescent="0.3">
      <c r="A66" s="28">
        <v>93</v>
      </c>
      <c r="B66" s="29" t="s">
        <v>44</v>
      </c>
      <c r="C66" s="29" t="s">
        <v>19</v>
      </c>
      <c r="D66" s="29" t="s">
        <v>39</v>
      </c>
      <c r="E66" s="29">
        <v>3.6767999990843202E-3</v>
      </c>
      <c r="F66" s="30">
        <v>60000</v>
      </c>
      <c r="G66" s="30">
        <v>10000</v>
      </c>
      <c r="H66" s="29">
        <v>94.378801300015695</v>
      </c>
      <c r="I66" s="30">
        <v>7673</v>
      </c>
      <c r="J66" s="30">
        <v>2327</v>
      </c>
      <c r="K66" s="29">
        <v>0.76729999999999998</v>
      </c>
      <c r="L66" s="29">
        <v>0.77952308935070402</v>
      </c>
      <c r="M66" s="29">
        <v>0.76419266948565001</v>
      </c>
      <c r="N66" s="29">
        <v>0.76512037799171195</v>
      </c>
      <c r="O66" s="29">
        <v>0.5</v>
      </c>
      <c r="P66" s="30">
        <v>7</v>
      </c>
      <c r="Q66" s="30">
        <v>99999999</v>
      </c>
      <c r="R66" s="31">
        <v>43</v>
      </c>
    </row>
    <row r="67" spans="1:18" x14ac:dyDescent="0.3">
      <c r="A67" s="28">
        <v>83</v>
      </c>
      <c r="B67" s="29" t="s">
        <v>44</v>
      </c>
      <c r="C67" s="29" t="s">
        <v>22</v>
      </c>
      <c r="D67" s="29" t="s">
        <v>20</v>
      </c>
      <c r="E67" s="29">
        <v>981.60945930000105</v>
      </c>
      <c r="F67" s="30">
        <v>60000</v>
      </c>
      <c r="G67" s="30">
        <v>10000</v>
      </c>
      <c r="H67" s="29">
        <v>991.67104119999499</v>
      </c>
      <c r="I67" s="30">
        <v>6115</v>
      </c>
      <c r="J67" s="30">
        <v>3885</v>
      </c>
      <c r="K67" s="29">
        <v>0.61150000000000004</v>
      </c>
      <c r="L67" s="29">
        <v>0.69410009235369197</v>
      </c>
      <c r="M67" s="29">
        <v>0.60761814387656199</v>
      </c>
      <c r="N67" s="29">
        <v>0.63055215969529299</v>
      </c>
      <c r="O67" s="29">
        <v>0.5</v>
      </c>
      <c r="P67" s="30">
        <v>7</v>
      </c>
      <c r="Q67" s="30">
        <v>99999999</v>
      </c>
      <c r="R67" s="31">
        <v>784</v>
      </c>
    </row>
    <row r="68" spans="1:18" x14ac:dyDescent="0.3">
      <c r="A68" s="28">
        <v>99</v>
      </c>
      <c r="B68" s="29" t="s">
        <v>44</v>
      </c>
      <c r="C68" s="29" t="s">
        <v>22</v>
      </c>
      <c r="D68" s="29" t="s">
        <v>26</v>
      </c>
      <c r="E68" s="29">
        <v>838.58205000002602</v>
      </c>
      <c r="F68" s="30">
        <v>60000</v>
      </c>
      <c r="G68" s="30">
        <v>10000</v>
      </c>
      <c r="H68" s="29">
        <v>846.28396759997099</v>
      </c>
      <c r="I68" s="30">
        <v>2689</v>
      </c>
      <c r="J68" s="30">
        <v>7311</v>
      </c>
      <c r="K68" s="29">
        <v>0.26889999999999997</v>
      </c>
      <c r="L68" s="29">
        <v>0.49852038613673699</v>
      </c>
      <c r="M68" s="29">
        <v>0.26022314611814201</v>
      </c>
      <c r="N68" s="29">
        <v>0.28129528448961699</v>
      </c>
      <c r="O68" s="29">
        <v>0.228580506497157</v>
      </c>
      <c r="P68" s="30">
        <v>7</v>
      </c>
      <c r="Q68" s="30">
        <v>99999999</v>
      </c>
      <c r="R68" s="31">
        <v>43</v>
      </c>
    </row>
    <row r="69" spans="1:18" x14ac:dyDescent="0.3">
      <c r="A69" s="28">
        <v>91</v>
      </c>
      <c r="B69" s="29" t="s">
        <v>44</v>
      </c>
      <c r="C69" s="29" t="s">
        <v>22</v>
      </c>
      <c r="D69" s="29" t="s">
        <v>25</v>
      </c>
      <c r="E69" s="29">
        <v>297.609088800032</v>
      </c>
      <c r="F69" s="30">
        <v>60000</v>
      </c>
      <c r="G69" s="30">
        <v>10000</v>
      </c>
      <c r="H69" s="29">
        <v>307.20172160002397</v>
      </c>
      <c r="I69" s="30">
        <v>8885</v>
      </c>
      <c r="J69" s="30">
        <v>1115</v>
      </c>
      <c r="K69" s="29">
        <v>0.88849999999999996</v>
      </c>
      <c r="L69" s="29">
        <v>0.88704113662825501</v>
      </c>
      <c r="M69" s="29">
        <v>0.88745914918593505</v>
      </c>
      <c r="N69" s="29">
        <v>0.88701014374716902</v>
      </c>
      <c r="O69" s="29">
        <v>0.5</v>
      </c>
      <c r="P69" s="30">
        <v>7</v>
      </c>
      <c r="Q69" s="30">
        <v>99999999</v>
      </c>
      <c r="R69" s="31">
        <v>9</v>
      </c>
    </row>
    <row r="70" spans="1:18" x14ac:dyDescent="0.3">
      <c r="A70" s="28">
        <v>87</v>
      </c>
      <c r="B70" s="29" t="s">
        <v>44</v>
      </c>
      <c r="C70" s="29" t="s">
        <v>22</v>
      </c>
      <c r="D70" s="29" t="s">
        <v>24</v>
      </c>
      <c r="E70" s="29">
        <v>42.462006599991497</v>
      </c>
      <c r="F70" s="30">
        <v>60000</v>
      </c>
      <c r="G70" s="30">
        <v>10000</v>
      </c>
      <c r="H70" s="29">
        <v>49.162690399971297</v>
      </c>
      <c r="I70" s="30">
        <v>9760</v>
      </c>
      <c r="J70" s="30">
        <v>240</v>
      </c>
      <c r="K70" s="29">
        <v>0.97599999999999998</v>
      </c>
      <c r="L70" s="29">
        <v>0.97578856120208601</v>
      </c>
      <c r="M70" s="29">
        <v>0.97581715698065596</v>
      </c>
      <c r="N70" s="29">
        <v>0.97579572543277404</v>
      </c>
      <c r="O70" s="29">
        <v>0.5</v>
      </c>
      <c r="P70" s="30">
        <v>7</v>
      </c>
      <c r="Q70" s="30">
        <v>99999999</v>
      </c>
      <c r="R70" s="31">
        <v>43</v>
      </c>
    </row>
    <row r="71" spans="1:18" x14ac:dyDescent="0.3">
      <c r="A71" s="28">
        <v>95</v>
      </c>
      <c r="B71" s="29" t="s">
        <v>44</v>
      </c>
      <c r="C71" s="29" t="s">
        <v>22</v>
      </c>
      <c r="D71" s="29" t="s">
        <v>39</v>
      </c>
      <c r="E71" s="29">
        <v>177.921690000046</v>
      </c>
      <c r="F71" s="30">
        <v>60000</v>
      </c>
      <c r="G71" s="30">
        <v>10000</v>
      </c>
      <c r="H71" s="29">
        <v>271.35085620003503</v>
      </c>
      <c r="I71" s="30">
        <v>7844</v>
      </c>
      <c r="J71" s="30">
        <v>2156</v>
      </c>
      <c r="K71" s="29">
        <v>0.78439999999999999</v>
      </c>
      <c r="L71" s="29">
        <v>0.80678337798601096</v>
      </c>
      <c r="M71" s="29">
        <v>0.78187240670983604</v>
      </c>
      <c r="N71" s="29">
        <v>0.78341129101256501</v>
      </c>
      <c r="O71" s="29">
        <v>0.5</v>
      </c>
      <c r="P71" s="30">
        <v>7</v>
      </c>
      <c r="Q71" s="30">
        <v>99999999</v>
      </c>
      <c r="R71" s="31">
        <v>43</v>
      </c>
    </row>
    <row r="72" spans="1:18" x14ac:dyDescent="0.3">
      <c r="A72" s="32">
        <v>84</v>
      </c>
      <c r="B72" s="33" t="s">
        <v>44</v>
      </c>
      <c r="C72" s="33" t="s">
        <v>23</v>
      </c>
      <c r="D72" s="33" t="s">
        <v>20</v>
      </c>
      <c r="E72" s="33">
        <v>1267.3228125000001</v>
      </c>
      <c r="F72" s="34">
        <v>60000</v>
      </c>
      <c r="G72" s="34">
        <v>10000</v>
      </c>
      <c r="H72" s="33">
        <v>1442.7905963000301</v>
      </c>
      <c r="I72" s="34">
        <v>5914</v>
      </c>
      <c r="J72" s="34">
        <v>4086</v>
      </c>
      <c r="K72" s="33">
        <v>0.59140000000000004</v>
      </c>
      <c r="L72" s="33">
        <v>0.72615507016181202</v>
      </c>
      <c r="M72" s="33">
        <v>0.58597867007581295</v>
      </c>
      <c r="N72" s="33">
        <v>0.62052399689471904</v>
      </c>
      <c r="O72" s="33">
        <v>0.5</v>
      </c>
      <c r="P72" s="34">
        <v>7</v>
      </c>
      <c r="Q72" s="34">
        <v>99999999</v>
      </c>
      <c r="R72" s="35">
        <v>784</v>
      </c>
    </row>
    <row r="73" spans="1:18" x14ac:dyDescent="0.3">
      <c r="A73" s="32">
        <v>100</v>
      </c>
      <c r="B73" s="33" t="s">
        <v>44</v>
      </c>
      <c r="C73" s="33" t="s">
        <v>23</v>
      </c>
      <c r="D73" s="33" t="s">
        <v>26</v>
      </c>
      <c r="E73" s="33">
        <v>341.23368459998102</v>
      </c>
      <c r="F73" s="34">
        <v>60000</v>
      </c>
      <c r="G73" s="34">
        <v>10000</v>
      </c>
      <c r="H73" s="33">
        <v>390.81433670001502</v>
      </c>
      <c r="I73" s="34">
        <v>2566</v>
      </c>
      <c r="J73" s="34">
        <v>7434</v>
      </c>
      <c r="K73" s="33">
        <v>0.25659999999999999</v>
      </c>
      <c r="L73" s="33">
        <v>0.55040295908958503</v>
      </c>
      <c r="M73" s="33">
        <v>0.24608327629579199</v>
      </c>
      <c r="N73" s="33">
        <v>0.26224635864395501</v>
      </c>
      <c r="O73" s="33">
        <v>0.228580506497157</v>
      </c>
      <c r="P73" s="34">
        <v>7</v>
      </c>
      <c r="Q73" s="34">
        <v>99999999</v>
      </c>
      <c r="R73" s="35">
        <v>43</v>
      </c>
    </row>
    <row r="74" spans="1:18" x14ac:dyDescent="0.3">
      <c r="A74" s="32">
        <v>92</v>
      </c>
      <c r="B74" s="33" t="s">
        <v>44</v>
      </c>
      <c r="C74" s="33" t="s">
        <v>23</v>
      </c>
      <c r="D74" s="33" t="s">
        <v>25</v>
      </c>
      <c r="E74" s="33">
        <v>10.0051396000199</v>
      </c>
      <c r="F74" s="34">
        <v>60000</v>
      </c>
      <c r="G74" s="34">
        <v>10000</v>
      </c>
      <c r="H74" s="33">
        <v>27.4118905000505</v>
      </c>
      <c r="I74" s="34">
        <v>9073</v>
      </c>
      <c r="J74" s="34">
        <v>927</v>
      </c>
      <c r="K74" s="33">
        <v>0.9073</v>
      </c>
      <c r="L74" s="33">
        <v>0.90614101648900802</v>
      </c>
      <c r="M74" s="33">
        <v>0.90612799597561799</v>
      </c>
      <c r="N74" s="33">
        <v>0.90598242569700305</v>
      </c>
      <c r="O74" s="33">
        <v>0.5</v>
      </c>
      <c r="P74" s="34">
        <v>7</v>
      </c>
      <c r="Q74" s="34">
        <v>99999999</v>
      </c>
      <c r="R74" s="35">
        <v>9</v>
      </c>
    </row>
    <row r="75" spans="1:18" x14ac:dyDescent="0.3">
      <c r="A75" s="32">
        <v>88</v>
      </c>
      <c r="B75" s="33" t="s">
        <v>44</v>
      </c>
      <c r="C75" s="33" t="s">
        <v>23</v>
      </c>
      <c r="D75" s="33" t="s">
        <v>24</v>
      </c>
      <c r="E75" s="33">
        <v>46.104256800026597</v>
      </c>
      <c r="F75" s="34">
        <v>60000</v>
      </c>
      <c r="G75" s="34">
        <v>10000</v>
      </c>
      <c r="H75" s="33">
        <v>69.630886600003507</v>
      </c>
      <c r="I75" s="34">
        <v>9292</v>
      </c>
      <c r="J75" s="34">
        <v>708</v>
      </c>
      <c r="K75" s="33">
        <v>0.92920000000000003</v>
      </c>
      <c r="L75" s="33">
        <v>0.92849442199714505</v>
      </c>
      <c r="M75" s="33">
        <v>0.92817043845773695</v>
      </c>
      <c r="N75" s="33">
        <v>0.92813685074247299</v>
      </c>
      <c r="O75" s="33">
        <v>0.5</v>
      </c>
      <c r="P75" s="34">
        <v>7</v>
      </c>
      <c r="Q75" s="34">
        <v>99999999</v>
      </c>
      <c r="R75" s="35">
        <v>43</v>
      </c>
    </row>
    <row r="76" spans="1:18" x14ac:dyDescent="0.3">
      <c r="A76" s="32">
        <v>96</v>
      </c>
      <c r="B76" s="33" t="s">
        <v>44</v>
      </c>
      <c r="C76" s="33" t="s">
        <v>23</v>
      </c>
      <c r="D76" s="33" t="s">
        <v>39</v>
      </c>
      <c r="E76" s="33">
        <v>74.534160099981804</v>
      </c>
      <c r="F76" s="34">
        <v>60000</v>
      </c>
      <c r="G76" s="34">
        <v>10000</v>
      </c>
      <c r="H76" s="33">
        <v>194.01238399994301</v>
      </c>
      <c r="I76" s="34">
        <v>7537</v>
      </c>
      <c r="J76" s="34">
        <v>2463</v>
      </c>
      <c r="K76" s="33">
        <v>0.75370000000000004</v>
      </c>
      <c r="L76" s="33">
        <v>0.77523574432658204</v>
      </c>
      <c r="M76" s="33">
        <v>0.74937158699207196</v>
      </c>
      <c r="N76" s="33">
        <v>0.75095644326583799</v>
      </c>
      <c r="O76" s="33">
        <v>0.5</v>
      </c>
      <c r="P76" s="34">
        <v>7</v>
      </c>
      <c r="Q76" s="34">
        <v>99999999</v>
      </c>
      <c r="R76" s="35">
        <v>43</v>
      </c>
    </row>
    <row r="77" spans="1:18" x14ac:dyDescent="0.3">
      <c r="A77" s="32">
        <v>82</v>
      </c>
      <c r="B77" s="33" t="s">
        <v>44</v>
      </c>
      <c r="C77" s="33" t="s">
        <v>21</v>
      </c>
      <c r="D77" s="33" t="s">
        <v>20</v>
      </c>
      <c r="E77" s="33">
        <v>22.372526199964302</v>
      </c>
      <c r="F77" s="34">
        <v>60000</v>
      </c>
      <c r="G77" s="34">
        <v>10000</v>
      </c>
      <c r="H77" s="33">
        <v>32.447978899988797</v>
      </c>
      <c r="I77" s="34">
        <v>6141</v>
      </c>
      <c r="J77" s="34">
        <v>3859</v>
      </c>
      <c r="K77" s="33">
        <v>0.61409999999999998</v>
      </c>
      <c r="L77" s="33">
        <v>0.71084904471895505</v>
      </c>
      <c r="M77" s="33">
        <v>0.60996905363843701</v>
      </c>
      <c r="N77" s="33">
        <v>0.63598058766309795</v>
      </c>
      <c r="O77" s="33">
        <v>0.5</v>
      </c>
      <c r="P77" s="34">
        <v>7</v>
      </c>
      <c r="Q77" s="34">
        <v>99999999</v>
      </c>
      <c r="R77" s="35">
        <v>784</v>
      </c>
    </row>
    <row r="78" spans="1:18" x14ac:dyDescent="0.3">
      <c r="A78" s="32">
        <v>98</v>
      </c>
      <c r="B78" s="33" t="s">
        <v>44</v>
      </c>
      <c r="C78" s="33" t="s">
        <v>21</v>
      </c>
      <c r="D78" s="33" t="s">
        <v>26</v>
      </c>
      <c r="E78" s="33">
        <v>2.4899065999779801</v>
      </c>
      <c r="F78" s="34">
        <v>60000</v>
      </c>
      <c r="G78" s="34">
        <v>10000</v>
      </c>
      <c r="H78" s="33">
        <v>10.045848299982</v>
      </c>
      <c r="I78" s="34">
        <v>2724</v>
      </c>
      <c r="J78" s="34">
        <v>7276</v>
      </c>
      <c r="K78" s="33">
        <v>0.27239999999999998</v>
      </c>
      <c r="L78" s="33">
        <v>0.51551404802607703</v>
      </c>
      <c r="M78" s="33">
        <v>0.26332604500321199</v>
      </c>
      <c r="N78" s="33">
        <v>0.28527105344741899</v>
      </c>
      <c r="O78" s="33">
        <v>0.228580506497157</v>
      </c>
      <c r="P78" s="34">
        <v>7</v>
      </c>
      <c r="Q78" s="34">
        <v>99999999</v>
      </c>
      <c r="R78" s="35">
        <v>43</v>
      </c>
    </row>
    <row r="79" spans="1:18" x14ac:dyDescent="0.3">
      <c r="A79" s="32">
        <v>90</v>
      </c>
      <c r="B79" s="33" t="s">
        <v>44</v>
      </c>
      <c r="C79" s="33" t="s">
        <v>21</v>
      </c>
      <c r="D79" s="33" t="s">
        <v>25</v>
      </c>
      <c r="E79" s="33">
        <v>2.1793798999860798</v>
      </c>
      <c r="F79" s="34">
        <v>60000</v>
      </c>
      <c r="G79" s="34">
        <v>10000</v>
      </c>
      <c r="H79" s="33">
        <v>11.586804599966801</v>
      </c>
      <c r="I79" s="34">
        <v>9027</v>
      </c>
      <c r="J79" s="34">
        <v>973</v>
      </c>
      <c r="K79" s="33">
        <v>0.90269999999999995</v>
      </c>
      <c r="L79" s="33">
        <v>0.90150322912271297</v>
      </c>
      <c r="M79" s="33">
        <v>0.90133541000243</v>
      </c>
      <c r="N79" s="33">
        <v>0.901264757500845</v>
      </c>
      <c r="O79" s="33">
        <v>0.5</v>
      </c>
      <c r="P79" s="34">
        <v>7</v>
      </c>
      <c r="Q79" s="34">
        <v>99999999</v>
      </c>
      <c r="R79" s="35">
        <v>9</v>
      </c>
    </row>
    <row r="80" spans="1:18" x14ac:dyDescent="0.3">
      <c r="A80" s="32">
        <v>86</v>
      </c>
      <c r="B80" s="33" t="s">
        <v>44</v>
      </c>
      <c r="C80" s="33" t="s">
        <v>21</v>
      </c>
      <c r="D80" s="33" t="s">
        <v>24</v>
      </c>
      <c r="E80" s="33">
        <v>5.2041488000540896</v>
      </c>
      <c r="F80" s="34">
        <v>60000</v>
      </c>
      <c r="G80" s="34">
        <v>10000</v>
      </c>
      <c r="H80" s="33">
        <v>12.005603800003801</v>
      </c>
      <c r="I80" s="34">
        <v>9432</v>
      </c>
      <c r="J80" s="34">
        <v>568</v>
      </c>
      <c r="K80" s="33">
        <v>0.94320000000000004</v>
      </c>
      <c r="L80" s="33">
        <v>0.94250880921255697</v>
      </c>
      <c r="M80" s="33">
        <v>0.94268395459005205</v>
      </c>
      <c r="N80" s="33">
        <v>0.94254098456664104</v>
      </c>
      <c r="O80" s="33">
        <v>0.5</v>
      </c>
      <c r="P80" s="34">
        <v>7</v>
      </c>
      <c r="Q80" s="34">
        <v>99999999</v>
      </c>
      <c r="R80" s="35">
        <v>43</v>
      </c>
    </row>
    <row r="81" spans="1:18" x14ac:dyDescent="0.3">
      <c r="A81" s="32">
        <v>94</v>
      </c>
      <c r="B81" s="33" t="s">
        <v>44</v>
      </c>
      <c r="C81" s="33" t="s">
        <v>21</v>
      </c>
      <c r="D81" s="33" t="s">
        <v>39</v>
      </c>
      <c r="E81" s="33">
        <v>4.7658211000380097</v>
      </c>
      <c r="F81" s="34">
        <v>60000</v>
      </c>
      <c r="G81" s="34">
        <v>10000</v>
      </c>
      <c r="H81" s="33">
        <v>97.866034799953894</v>
      </c>
      <c r="I81" s="34">
        <v>8119</v>
      </c>
      <c r="J81" s="34">
        <v>1881</v>
      </c>
      <c r="K81" s="33">
        <v>0.81189999999999996</v>
      </c>
      <c r="L81" s="33">
        <v>0.82122774113894503</v>
      </c>
      <c r="M81" s="33">
        <v>0.809495899419716</v>
      </c>
      <c r="N81" s="33">
        <v>0.81050686823342799</v>
      </c>
      <c r="O81" s="33">
        <v>0.5</v>
      </c>
      <c r="P81" s="34">
        <v>7</v>
      </c>
      <c r="Q81" s="34">
        <v>99999999</v>
      </c>
      <c r="R81" s="35">
        <v>43</v>
      </c>
    </row>
    <row r="82" spans="1:18" x14ac:dyDescent="0.3">
      <c r="A82" s="28">
        <v>101</v>
      </c>
      <c r="B82" s="29" t="s">
        <v>45</v>
      </c>
      <c r="C82" s="29" t="s">
        <v>19</v>
      </c>
      <c r="D82" s="29" t="s">
        <v>20</v>
      </c>
      <c r="E82" s="29">
        <v>3.3745099965017199E-2</v>
      </c>
      <c r="F82" s="30">
        <v>60000</v>
      </c>
      <c r="G82" s="30">
        <v>10000</v>
      </c>
      <c r="H82" s="29">
        <v>13.442459999991099</v>
      </c>
      <c r="I82" s="30">
        <v>8135</v>
      </c>
      <c r="J82" s="30">
        <v>1865</v>
      </c>
      <c r="K82" s="29">
        <v>0.8135</v>
      </c>
      <c r="L82" s="29">
        <v>0.84320970881505097</v>
      </c>
      <c r="M82" s="29">
        <v>0.81157374633495305</v>
      </c>
      <c r="N82" s="29">
        <v>0.81488908332254695</v>
      </c>
      <c r="O82" s="29">
        <v>0.5</v>
      </c>
      <c r="P82" s="30">
        <v>7</v>
      </c>
      <c r="Q82" s="30">
        <v>99999999</v>
      </c>
      <c r="R82" s="31">
        <v>784</v>
      </c>
    </row>
    <row r="83" spans="1:18" x14ac:dyDescent="0.3">
      <c r="A83" s="28">
        <v>117</v>
      </c>
      <c r="B83" s="29" t="s">
        <v>45</v>
      </c>
      <c r="C83" s="29" t="s">
        <v>19</v>
      </c>
      <c r="D83" s="29" t="s">
        <v>26</v>
      </c>
      <c r="E83" s="29">
        <v>6.0953000211156896E-3</v>
      </c>
      <c r="F83" s="30">
        <v>60000</v>
      </c>
      <c r="G83" s="30">
        <v>10000</v>
      </c>
      <c r="H83" s="29">
        <v>10.600588399975001</v>
      </c>
      <c r="I83" s="30">
        <v>8910</v>
      </c>
      <c r="J83" s="30">
        <v>1090</v>
      </c>
      <c r="K83" s="29">
        <v>0.89100000000000001</v>
      </c>
      <c r="L83" s="29">
        <v>0.89010243758214502</v>
      </c>
      <c r="M83" s="29">
        <v>0.88875893115585802</v>
      </c>
      <c r="N83" s="29">
        <v>0.88880186503950798</v>
      </c>
      <c r="O83" s="29">
        <v>0.228580506497157</v>
      </c>
      <c r="P83" s="30">
        <v>7</v>
      </c>
      <c r="Q83" s="30">
        <v>99999999</v>
      </c>
      <c r="R83" s="31">
        <v>43</v>
      </c>
    </row>
    <row r="84" spans="1:18" x14ac:dyDescent="0.3">
      <c r="A84" s="28">
        <v>109</v>
      </c>
      <c r="B84" s="29" t="s">
        <v>45</v>
      </c>
      <c r="C84" s="29" t="s">
        <v>19</v>
      </c>
      <c r="D84" s="29" t="s">
        <v>25</v>
      </c>
      <c r="E84" s="29">
        <v>6.0756699997000299E-2</v>
      </c>
      <c r="F84" s="30">
        <v>60000</v>
      </c>
      <c r="G84" s="30">
        <v>10000</v>
      </c>
      <c r="H84" s="29">
        <v>9.5709826999809593</v>
      </c>
      <c r="I84" s="30">
        <v>9003</v>
      </c>
      <c r="J84" s="30">
        <v>997</v>
      </c>
      <c r="K84" s="29">
        <v>0.90029999999999999</v>
      </c>
      <c r="L84" s="29">
        <v>0.89919160877865301</v>
      </c>
      <c r="M84" s="29">
        <v>0.89893914815479103</v>
      </c>
      <c r="N84" s="29">
        <v>0.89876936783835004</v>
      </c>
      <c r="O84" s="29">
        <v>0.5</v>
      </c>
      <c r="P84" s="30">
        <v>7</v>
      </c>
      <c r="Q84" s="30">
        <v>99999999</v>
      </c>
      <c r="R84" s="31">
        <v>9</v>
      </c>
    </row>
    <row r="85" spans="1:18" x14ac:dyDescent="0.3">
      <c r="A85" s="28">
        <v>105</v>
      </c>
      <c r="B85" s="29" t="s">
        <v>45</v>
      </c>
      <c r="C85" s="29" t="s">
        <v>19</v>
      </c>
      <c r="D85" s="29" t="s">
        <v>24</v>
      </c>
      <c r="E85" s="29">
        <v>3.2770999823696898E-3</v>
      </c>
      <c r="F85" s="30">
        <v>60000</v>
      </c>
      <c r="G85" s="30">
        <v>10000</v>
      </c>
      <c r="H85" s="29">
        <v>6.9601770000299403</v>
      </c>
      <c r="I85" s="30">
        <v>9625</v>
      </c>
      <c r="J85" s="30">
        <v>375</v>
      </c>
      <c r="K85" s="29">
        <v>0.96250000000000002</v>
      </c>
      <c r="L85" s="29">
        <v>0.962662386578509</v>
      </c>
      <c r="M85" s="29">
        <v>0.96211620781993901</v>
      </c>
      <c r="N85" s="29">
        <v>0.96227358988727596</v>
      </c>
      <c r="O85" s="29">
        <v>0.5</v>
      </c>
      <c r="P85" s="30">
        <v>7</v>
      </c>
      <c r="Q85" s="30">
        <v>99999999</v>
      </c>
      <c r="R85" s="31">
        <v>43</v>
      </c>
    </row>
    <row r="86" spans="1:18" x14ac:dyDescent="0.3">
      <c r="A86" s="28">
        <v>113</v>
      </c>
      <c r="B86" s="29" t="s">
        <v>45</v>
      </c>
      <c r="C86" s="29" t="s">
        <v>19</v>
      </c>
      <c r="D86" s="29" t="s">
        <v>39</v>
      </c>
      <c r="E86" s="29">
        <v>3.21300001814961E-3</v>
      </c>
      <c r="F86" s="30">
        <v>60000</v>
      </c>
      <c r="G86" s="30">
        <v>10000</v>
      </c>
      <c r="H86" s="29">
        <v>98.550839000032198</v>
      </c>
      <c r="I86" s="30">
        <v>9440</v>
      </c>
      <c r="J86" s="30">
        <v>560</v>
      </c>
      <c r="K86" s="29">
        <v>0.94399999999999995</v>
      </c>
      <c r="L86" s="29">
        <v>0.94493540868889903</v>
      </c>
      <c r="M86" s="29">
        <v>0.94347058315979004</v>
      </c>
      <c r="N86" s="29">
        <v>0.94385059151172002</v>
      </c>
      <c r="O86" s="29">
        <v>0.5</v>
      </c>
      <c r="P86" s="30">
        <v>7</v>
      </c>
      <c r="Q86" s="30">
        <v>99999999</v>
      </c>
      <c r="R86" s="31">
        <v>43</v>
      </c>
    </row>
    <row r="87" spans="1:18" x14ac:dyDescent="0.3">
      <c r="A87" s="28">
        <v>103</v>
      </c>
      <c r="B87" s="29" t="s">
        <v>45</v>
      </c>
      <c r="C87" s="29" t="s">
        <v>22</v>
      </c>
      <c r="D87" s="29" t="s">
        <v>20</v>
      </c>
      <c r="E87" s="29">
        <v>135.65252329997</v>
      </c>
      <c r="F87" s="30">
        <v>60000</v>
      </c>
      <c r="G87" s="30">
        <v>10000</v>
      </c>
      <c r="H87" s="29">
        <v>145.09833660000001</v>
      </c>
      <c r="I87" s="30">
        <v>9422</v>
      </c>
      <c r="J87" s="30">
        <v>578</v>
      </c>
      <c r="K87" s="29">
        <v>0.94220000000000004</v>
      </c>
      <c r="L87" s="29">
        <v>0.94173373211403</v>
      </c>
      <c r="M87" s="29">
        <v>0.94162011877126905</v>
      </c>
      <c r="N87" s="29">
        <v>0.94161718196785904</v>
      </c>
      <c r="O87" s="29">
        <v>0.5</v>
      </c>
      <c r="P87" s="30">
        <v>7</v>
      </c>
      <c r="Q87" s="30">
        <v>99999999</v>
      </c>
      <c r="R87" s="31">
        <v>784</v>
      </c>
    </row>
    <row r="88" spans="1:18" x14ac:dyDescent="0.3">
      <c r="A88" s="28">
        <v>119</v>
      </c>
      <c r="B88" s="29" t="s">
        <v>45</v>
      </c>
      <c r="C88" s="29" t="s">
        <v>22</v>
      </c>
      <c r="D88" s="29" t="s">
        <v>26</v>
      </c>
      <c r="E88" s="29">
        <v>1225.63053790002</v>
      </c>
      <c r="F88" s="30">
        <v>60000</v>
      </c>
      <c r="G88" s="30">
        <v>10000</v>
      </c>
      <c r="H88" s="29">
        <v>1235.28399069997</v>
      </c>
      <c r="I88" s="30">
        <v>9149</v>
      </c>
      <c r="J88" s="30">
        <v>851</v>
      </c>
      <c r="K88" s="29">
        <v>0.91490000000000005</v>
      </c>
      <c r="L88" s="29">
        <v>0.91390106104533597</v>
      </c>
      <c r="M88" s="29">
        <v>0.91362710697538496</v>
      </c>
      <c r="N88" s="29">
        <v>0.91363212929201199</v>
      </c>
      <c r="O88" s="29">
        <v>0.228580506497157</v>
      </c>
      <c r="P88" s="30">
        <v>7</v>
      </c>
      <c r="Q88" s="30">
        <v>99999999</v>
      </c>
      <c r="R88" s="31">
        <v>43</v>
      </c>
    </row>
    <row r="89" spans="1:18" x14ac:dyDescent="0.3">
      <c r="A89" s="28">
        <v>111</v>
      </c>
      <c r="B89" s="29" t="s">
        <v>45</v>
      </c>
      <c r="C89" s="29" t="s">
        <v>22</v>
      </c>
      <c r="D89" s="29" t="s">
        <v>25</v>
      </c>
      <c r="E89" s="29">
        <v>334.31021550000798</v>
      </c>
      <c r="F89" s="30">
        <v>60000</v>
      </c>
      <c r="G89" s="30">
        <v>10000</v>
      </c>
      <c r="H89" s="29">
        <v>343.54678760003299</v>
      </c>
      <c r="I89" s="30">
        <v>8829</v>
      </c>
      <c r="J89" s="30">
        <v>1171</v>
      </c>
      <c r="K89" s="29">
        <v>0.88290000000000002</v>
      </c>
      <c r="L89" s="29">
        <v>0.88248635700891698</v>
      </c>
      <c r="M89" s="29">
        <v>0.88132785914174105</v>
      </c>
      <c r="N89" s="29">
        <v>0.88163312295748197</v>
      </c>
      <c r="O89" s="29">
        <v>0.5</v>
      </c>
      <c r="P89" s="30">
        <v>7</v>
      </c>
      <c r="Q89" s="30">
        <v>99999999</v>
      </c>
      <c r="R89" s="31">
        <v>9</v>
      </c>
    </row>
    <row r="90" spans="1:18" x14ac:dyDescent="0.3">
      <c r="A90" s="28">
        <v>107</v>
      </c>
      <c r="B90" s="29" t="s">
        <v>45</v>
      </c>
      <c r="C90" s="29" t="s">
        <v>22</v>
      </c>
      <c r="D90" s="29" t="s">
        <v>24</v>
      </c>
      <c r="E90" s="29">
        <v>42.695123500016003</v>
      </c>
      <c r="F90" s="30">
        <v>60000</v>
      </c>
      <c r="G90" s="30">
        <v>10000</v>
      </c>
      <c r="H90" s="29">
        <v>49.296011700003803</v>
      </c>
      <c r="I90" s="30">
        <v>9705</v>
      </c>
      <c r="J90" s="30">
        <v>295</v>
      </c>
      <c r="K90" s="29">
        <v>0.97050000000000003</v>
      </c>
      <c r="L90" s="29">
        <v>0.97055716050493201</v>
      </c>
      <c r="M90" s="29">
        <v>0.97024372955045202</v>
      </c>
      <c r="N90" s="29">
        <v>0.97035799981645499</v>
      </c>
      <c r="O90" s="29">
        <v>0.5</v>
      </c>
      <c r="P90" s="30">
        <v>7</v>
      </c>
      <c r="Q90" s="30">
        <v>99999999</v>
      </c>
      <c r="R90" s="31">
        <v>43</v>
      </c>
    </row>
    <row r="91" spans="1:18" x14ac:dyDescent="0.3">
      <c r="A91" s="28">
        <v>115</v>
      </c>
      <c r="B91" s="29" t="s">
        <v>45</v>
      </c>
      <c r="C91" s="29" t="s">
        <v>22</v>
      </c>
      <c r="D91" s="29" t="s">
        <v>39</v>
      </c>
      <c r="E91" s="29">
        <v>277.795230099989</v>
      </c>
      <c r="F91" s="30">
        <v>60000</v>
      </c>
      <c r="G91" s="30">
        <v>10000</v>
      </c>
      <c r="H91" s="29">
        <v>382.23642149998301</v>
      </c>
      <c r="I91" s="30">
        <v>9437</v>
      </c>
      <c r="J91" s="30">
        <v>563</v>
      </c>
      <c r="K91" s="29">
        <v>0.94369999999999998</v>
      </c>
      <c r="L91" s="29">
        <v>0.94478809084682103</v>
      </c>
      <c r="M91" s="29">
        <v>0.94308443390864904</v>
      </c>
      <c r="N91" s="29">
        <v>0.94353123851468301</v>
      </c>
      <c r="O91" s="29">
        <v>0.5</v>
      </c>
      <c r="P91" s="30">
        <v>7</v>
      </c>
      <c r="Q91" s="30">
        <v>99999999</v>
      </c>
      <c r="R91" s="31">
        <v>43</v>
      </c>
    </row>
    <row r="92" spans="1:18" x14ac:dyDescent="0.3">
      <c r="A92" s="32">
        <v>104</v>
      </c>
      <c r="B92" s="33" t="s">
        <v>45</v>
      </c>
      <c r="C92" s="33" t="s">
        <v>23</v>
      </c>
      <c r="D92" s="33" t="s">
        <v>20</v>
      </c>
      <c r="E92" s="33">
        <v>264.95547490002298</v>
      </c>
      <c r="F92" s="34">
        <v>60000</v>
      </c>
      <c r="G92" s="34">
        <v>10000</v>
      </c>
      <c r="H92" s="33">
        <v>428.879557500011</v>
      </c>
      <c r="I92" s="34">
        <v>9328</v>
      </c>
      <c r="J92" s="34">
        <v>672</v>
      </c>
      <c r="K92" s="33">
        <v>0.93279999999999996</v>
      </c>
      <c r="L92" s="33">
        <v>0.93238044678102805</v>
      </c>
      <c r="M92" s="33">
        <v>0.93194598486727298</v>
      </c>
      <c r="N92" s="33">
        <v>0.93195217019489196</v>
      </c>
      <c r="O92" s="33">
        <v>0.5</v>
      </c>
      <c r="P92" s="34">
        <v>7</v>
      </c>
      <c r="Q92" s="34">
        <v>99999999</v>
      </c>
      <c r="R92" s="35">
        <v>784</v>
      </c>
    </row>
    <row r="93" spans="1:18" x14ac:dyDescent="0.3">
      <c r="A93" s="32">
        <v>120</v>
      </c>
      <c r="B93" s="33" t="s">
        <v>45</v>
      </c>
      <c r="C93" s="33" t="s">
        <v>23</v>
      </c>
      <c r="D93" s="33" t="s">
        <v>26</v>
      </c>
      <c r="E93" s="33">
        <v>31.087758400011801</v>
      </c>
      <c r="F93" s="34">
        <v>60000</v>
      </c>
      <c r="G93" s="34">
        <v>10000</v>
      </c>
      <c r="H93" s="33">
        <v>55.158883000025497</v>
      </c>
      <c r="I93" s="34">
        <v>9116</v>
      </c>
      <c r="J93" s="34">
        <v>884</v>
      </c>
      <c r="K93" s="33">
        <v>0.91159999999999997</v>
      </c>
      <c r="L93" s="33">
        <v>0.91068747283345697</v>
      </c>
      <c r="M93" s="33">
        <v>0.91021350191907802</v>
      </c>
      <c r="N93" s="33">
        <v>0.91024837032845496</v>
      </c>
      <c r="O93" s="33">
        <v>0.228580506497157</v>
      </c>
      <c r="P93" s="34">
        <v>7</v>
      </c>
      <c r="Q93" s="34">
        <v>99999999</v>
      </c>
      <c r="R93" s="35">
        <v>43</v>
      </c>
    </row>
    <row r="94" spans="1:18" x14ac:dyDescent="0.3">
      <c r="A94" s="32">
        <v>112</v>
      </c>
      <c r="B94" s="33" t="s">
        <v>45</v>
      </c>
      <c r="C94" s="33" t="s">
        <v>23</v>
      </c>
      <c r="D94" s="33" t="s">
        <v>25</v>
      </c>
      <c r="E94" s="33">
        <v>10.011461199959699</v>
      </c>
      <c r="F94" s="34">
        <v>60000</v>
      </c>
      <c r="G94" s="34">
        <v>10000</v>
      </c>
      <c r="H94" s="33">
        <v>28.36753519997</v>
      </c>
      <c r="I94" s="34">
        <v>9105</v>
      </c>
      <c r="J94" s="34">
        <v>895</v>
      </c>
      <c r="K94" s="33">
        <v>0.91049999999999998</v>
      </c>
      <c r="L94" s="33">
        <v>0.909483555587558</v>
      </c>
      <c r="M94" s="33">
        <v>0.90943476135397106</v>
      </c>
      <c r="N94" s="33">
        <v>0.90937642774407901</v>
      </c>
      <c r="O94" s="33">
        <v>0.5</v>
      </c>
      <c r="P94" s="34">
        <v>7</v>
      </c>
      <c r="Q94" s="34">
        <v>99999999</v>
      </c>
      <c r="R94" s="35">
        <v>9</v>
      </c>
    </row>
    <row r="95" spans="1:18" x14ac:dyDescent="0.3">
      <c r="A95" s="32">
        <v>108</v>
      </c>
      <c r="B95" s="33" t="s">
        <v>45</v>
      </c>
      <c r="C95" s="33" t="s">
        <v>23</v>
      </c>
      <c r="D95" s="33" t="s">
        <v>24</v>
      </c>
      <c r="E95" s="33">
        <v>20.0633385000401</v>
      </c>
      <c r="F95" s="34">
        <v>60000</v>
      </c>
      <c r="G95" s="34">
        <v>10000</v>
      </c>
      <c r="H95" s="33">
        <v>35.290920800005502</v>
      </c>
      <c r="I95" s="34">
        <v>9728</v>
      </c>
      <c r="J95" s="34">
        <v>272</v>
      </c>
      <c r="K95" s="33">
        <v>0.9728</v>
      </c>
      <c r="L95" s="33">
        <v>0.97275421484553704</v>
      </c>
      <c r="M95" s="33">
        <v>0.97251301004452695</v>
      </c>
      <c r="N95" s="33">
        <v>0.97261360808994402</v>
      </c>
      <c r="O95" s="33">
        <v>0.5</v>
      </c>
      <c r="P95" s="34">
        <v>7</v>
      </c>
      <c r="Q95" s="34">
        <v>99999999</v>
      </c>
      <c r="R95" s="35">
        <v>43</v>
      </c>
    </row>
    <row r="96" spans="1:18" x14ac:dyDescent="0.3">
      <c r="A96" s="32">
        <v>116</v>
      </c>
      <c r="B96" s="33" t="s">
        <v>45</v>
      </c>
      <c r="C96" s="33" t="s">
        <v>23</v>
      </c>
      <c r="D96" s="33" t="s">
        <v>39</v>
      </c>
      <c r="E96" s="33">
        <v>13.5424648000043</v>
      </c>
      <c r="F96" s="34">
        <v>60000</v>
      </c>
      <c r="G96" s="34">
        <v>10000</v>
      </c>
      <c r="H96" s="33">
        <v>125.815711200004</v>
      </c>
      <c r="I96" s="34">
        <v>9414</v>
      </c>
      <c r="J96" s="34">
        <v>586</v>
      </c>
      <c r="K96" s="33">
        <v>0.94140000000000001</v>
      </c>
      <c r="L96" s="33">
        <v>0.94312279997729198</v>
      </c>
      <c r="M96" s="33">
        <v>0.94082404521388996</v>
      </c>
      <c r="N96" s="33">
        <v>0.94125938121110797</v>
      </c>
      <c r="O96" s="33">
        <v>0.5</v>
      </c>
      <c r="P96" s="34">
        <v>7</v>
      </c>
      <c r="Q96" s="34">
        <v>99999999</v>
      </c>
      <c r="R96" s="35">
        <v>43</v>
      </c>
    </row>
    <row r="97" spans="1:18" x14ac:dyDescent="0.3">
      <c r="A97" s="32">
        <v>102</v>
      </c>
      <c r="B97" s="33" t="s">
        <v>45</v>
      </c>
      <c r="C97" s="33" t="s">
        <v>21</v>
      </c>
      <c r="D97" s="33" t="s">
        <v>20</v>
      </c>
      <c r="E97" s="33">
        <v>19.848771999997499</v>
      </c>
      <c r="F97" s="34">
        <v>60000</v>
      </c>
      <c r="G97" s="34">
        <v>10000</v>
      </c>
      <c r="H97" s="33">
        <v>29.352100899966899</v>
      </c>
      <c r="I97" s="34">
        <v>8931</v>
      </c>
      <c r="J97" s="34">
        <v>1069</v>
      </c>
      <c r="K97" s="33">
        <v>0.8931</v>
      </c>
      <c r="L97" s="33">
        <v>0.89232333863723801</v>
      </c>
      <c r="M97" s="33">
        <v>0.89196192531094498</v>
      </c>
      <c r="N97" s="33">
        <v>0.891840970272473</v>
      </c>
      <c r="O97" s="33">
        <v>0.5</v>
      </c>
      <c r="P97" s="34">
        <v>7</v>
      </c>
      <c r="Q97" s="34">
        <v>99999999</v>
      </c>
      <c r="R97" s="35">
        <v>784</v>
      </c>
    </row>
    <row r="98" spans="1:18" x14ac:dyDescent="0.3">
      <c r="A98" s="32">
        <v>118</v>
      </c>
      <c r="B98" s="33" t="s">
        <v>45</v>
      </c>
      <c r="C98" s="33" t="s">
        <v>21</v>
      </c>
      <c r="D98" s="33" t="s">
        <v>26</v>
      </c>
      <c r="E98" s="33">
        <v>3.3338109999894998</v>
      </c>
      <c r="F98" s="34">
        <v>60000</v>
      </c>
      <c r="G98" s="34">
        <v>10000</v>
      </c>
      <c r="H98" s="33">
        <v>12.7986861999961</v>
      </c>
      <c r="I98" s="34">
        <v>9125</v>
      </c>
      <c r="J98" s="34">
        <v>875</v>
      </c>
      <c r="K98" s="33">
        <v>0.91249999999999998</v>
      </c>
      <c r="L98" s="33">
        <v>0.91113780530698796</v>
      </c>
      <c r="M98" s="33">
        <v>0.911273165260996</v>
      </c>
      <c r="N98" s="33">
        <v>0.91105232351362997</v>
      </c>
      <c r="O98" s="33">
        <v>0.228580506497157</v>
      </c>
      <c r="P98" s="34">
        <v>7</v>
      </c>
      <c r="Q98" s="34">
        <v>99999999</v>
      </c>
      <c r="R98" s="35">
        <v>43</v>
      </c>
    </row>
    <row r="99" spans="1:18" x14ac:dyDescent="0.3">
      <c r="A99" s="32">
        <v>110</v>
      </c>
      <c r="B99" s="33" t="s">
        <v>45</v>
      </c>
      <c r="C99" s="33" t="s">
        <v>21</v>
      </c>
      <c r="D99" s="33" t="s">
        <v>25</v>
      </c>
      <c r="E99" s="33">
        <v>2.0991350999684002</v>
      </c>
      <c r="F99" s="34">
        <v>60000</v>
      </c>
      <c r="G99" s="34">
        <v>10000</v>
      </c>
      <c r="H99" s="33">
        <v>11.4327912999433</v>
      </c>
      <c r="I99" s="34">
        <v>9013</v>
      </c>
      <c r="J99" s="34">
        <v>987</v>
      </c>
      <c r="K99" s="33">
        <v>0.90129999999999999</v>
      </c>
      <c r="L99" s="33">
        <v>0.900063707965854</v>
      </c>
      <c r="M99" s="33">
        <v>0.90012044638980704</v>
      </c>
      <c r="N99" s="33">
        <v>0.90000049342004196</v>
      </c>
      <c r="O99" s="33">
        <v>0.5</v>
      </c>
      <c r="P99" s="34">
        <v>7</v>
      </c>
      <c r="Q99" s="34">
        <v>99999999</v>
      </c>
      <c r="R99" s="35">
        <v>9</v>
      </c>
    </row>
    <row r="100" spans="1:18" x14ac:dyDescent="0.3">
      <c r="A100" s="32">
        <v>106</v>
      </c>
      <c r="B100" s="33" t="s">
        <v>45</v>
      </c>
      <c r="C100" s="33" t="s">
        <v>21</v>
      </c>
      <c r="D100" s="33" t="s">
        <v>24</v>
      </c>
      <c r="E100" s="33">
        <v>5.1520567000261499</v>
      </c>
      <c r="F100" s="34">
        <v>60000</v>
      </c>
      <c r="G100" s="34">
        <v>10000</v>
      </c>
      <c r="H100" s="33">
        <v>11.5674683999968</v>
      </c>
      <c r="I100" s="34">
        <v>9441</v>
      </c>
      <c r="J100" s="34">
        <v>559</v>
      </c>
      <c r="K100" s="33">
        <v>0.94410000000000005</v>
      </c>
      <c r="L100" s="33">
        <v>0.94355689279627397</v>
      </c>
      <c r="M100" s="33">
        <v>0.94348787318621896</v>
      </c>
      <c r="N100" s="33">
        <v>0.94348913710234805</v>
      </c>
      <c r="O100" s="33">
        <v>0.5</v>
      </c>
      <c r="P100" s="34">
        <v>7</v>
      </c>
      <c r="Q100" s="34">
        <v>99999999</v>
      </c>
      <c r="R100" s="35">
        <v>43</v>
      </c>
    </row>
    <row r="101" spans="1:18" x14ac:dyDescent="0.3">
      <c r="A101" s="32">
        <v>114</v>
      </c>
      <c r="B101" s="33" t="s">
        <v>45</v>
      </c>
      <c r="C101" s="33" t="s">
        <v>21</v>
      </c>
      <c r="D101" s="33" t="s">
        <v>39</v>
      </c>
      <c r="E101" s="33">
        <v>4.3449436000082597</v>
      </c>
      <c r="F101" s="34">
        <v>60000</v>
      </c>
      <c r="G101" s="34">
        <v>10000</v>
      </c>
      <c r="H101" s="33">
        <v>101.901089899998</v>
      </c>
      <c r="I101" s="34">
        <v>9464</v>
      </c>
      <c r="J101" s="34">
        <v>536</v>
      </c>
      <c r="K101" s="33">
        <v>0.94640000000000002</v>
      </c>
      <c r="L101" s="33">
        <v>0.94706171996808797</v>
      </c>
      <c r="M101" s="33">
        <v>0.94595618538980897</v>
      </c>
      <c r="N101" s="33">
        <v>0.94625411687826499</v>
      </c>
      <c r="O101" s="33">
        <v>0.5</v>
      </c>
      <c r="P101" s="34">
        <v>7</v>
      </c>
      <c r="Q101" s="34">
        <v>99999999</v>
      </c>
      <c r="R101" s="35">
        <v>43</v>
      </c>
    </row>
    <row r="102" spans="1:18" x14ac:dyDescent="0.3">
      <c r="A102" s="28">
        <v>1</v>
      </c>
      <c r="B102" s="29" t="s">
        <v>40</v>
      </c>
      <c r="C102" s="29" t="s">
        <v>19</v>
      </c>
      <c r="D102" s="29" t="s">
        <v>20</v>
      </c>
      <c r="E102" s="29">
        <v>3.7514100025873597E-2</v>
      </c>
      <c r="F102" s="30">
        <v>60000</v>
      </c>
      <c r="G102" s="30">
        <v>10000</v>
      </c>
      <c r="H102" s="29">
        <v>19.0518328000325</v>
      </c>
      <c r="I102" s="30">
        <v>9576</v>
      </c>
      <c r="J102" s="30">
        <v>424</v>
      </c>
      <c r="K102" s="29">
        <v>0.95760000000000001</v>
      </c>
      <c r="L102" s="29">
        <v>0.95902151019789905</v>
      </c>
      <c r="M102" s="29">
        <v>0.95718326268430298</v>
      </c>
      <c r="N102" s="29">
        <v>0.95763457425368903</v>
      </c>
      <c r="O102" s="29">
        <v>0.5</v>
      </c>
      <c r="P102" s="30">
        <v>7</v>
      </c>
      <c r="Q102" s="30">
        <v>99999999</v>
      </c>
      <c r="R102" s="31">
        <v>784</v>
      </c>
    </row>
    <row r="103" spans="1:18" x14ac:dyDescent="0.3">
      <c r="A103" s="28">
        <v>17</v>
      </c>
      <c r="B103" s="29" t="s">
        <v>40</v>
      </c>
      <c r="C103" s="29" t="s">
        <v>19</v>
      </c>
      <c r="D103" s="29" t="s">
        <v>26</v>
      </c>
      <c r="E103" s="29">
        <v>4.1949000442400497E-3</v>
      </c>
      <c r="F103" s="30">
        <v>60000</v>
      </c>
      <c r="G103" s="30">
        <v>10000</v>
      </c>
      <c r="H103" s="29">
        <v>15.158636399952201</v>
      </c>
      <c r="I103" s="30">
        <v>9582</v>
      </c>
      <c r="J103" s="30">
        <v>418</v>
      </c>
      <c r="K103" s="29">
        <v>0.95820000000000005</v>
      </c>
      <c r="L103" s="29">
        <v>0.95807505508302504</v>
      </c>
      <c r="M103" s="29">
        <v>0.95757906077130905</v>
      </c>
      <c r="N103" s="29">
        <v>0.957680563614139</v>
      </c>
      <c r="O103" s="29">
        <v>0.228580506497157</v>
      </c>
      <c r="P103" s="30">
        <v>7</v>
      </c>
      <c r="Q103" s="30">
        <v>99999999</v>
      </c>
      <c r="R103" s="31">
        <v>43</v>
      </c>
    </row>
    <row r="104" spans="1:18" x14ac:dyDescent="0.3">
      <c r="A104" s="28">
        <v>9</v>
      </c>
      <c r="B104" s="29" t="s">
        <v>40</v>
      </c>
      <c r="C104" s="29" t="s">
        <v>19</v>
      </c>
      <c r="D104" s="29" t="s">
        <v>25</v>
      </c>
      <c r="E104" s="29">
        <v>6.8540000007487806E-2</v>
      </c>
      <c r="F104" s="30">
        <v>60000</v>
      </c>
      <c r="G104" s="30">
        <v>10000</v>
      </c>
      <c r="H104" s="29">
        <v>10.964368099987</v>
      </c>
      <c r="I104" s="30">
        <v>9145</v>
      </c>
      <c r="J104" s="30">
        <v>855</v>
      </c>
      <c r="K104" s="29">
        <v>0.91449999999999998</v>
      </c>
      <c r="L104" s="29">
        <v>0.91343772598449402</v>
      </c>
      <c r="M104" s="29">
        <v>0.91323609218546598</v>
      </c>
      <c r="N104" s="29">
        <v>0.91313119911122698</v>
      </c>
      <c r="O104" s="29">
        <v>0.5</v>
      </c>
      <c r="P104" s="30">
        <v>7</v>
      </c>
      <c r="Q104" s="30">
        <v>99999999</v>
      </c>
      <c r="R104" s="31">
        <v>9</v>
      </c>
    </row>
    <row r="105" spans="1:18" x14ac:dyDescent="0.3">
      <c r="A105" s="28">
        <v>5</v>
      </c>
      <c r="B105" s="29" t="s">
        <v>40</v>
      </c>
      <c r="C105" s="29" t="s">
        <v>19</v>
      </c>
      <c r="D105" s="29" t="s">
        <v>24</v>
      </c>
      <c r="E105" s="29">
        <v>3.7532999995164499E-3</v>
      </c>
      <c r="F105" s="30">
        <v>60000</v>
      </c>
      <c r="G105" s="30">
        <v>10000</v>
      </c>
      <c r="H105" s="29">
        <v>8.4352921000099705</v>
      </c>
      <c r="I105" s="30">
        <v>9744</v>
      </c>
      <c r="J105" s="30">
        <v>256</v>
      </c>
      <c r="K105" s="29">
        <v>0.97440000000000004</v>
      </c>
      <c r="L105" s="29">
        <v>0.97440344116827504</v>
      </c>
      <c r="M105" s="29">
        <v>0.97421810507425599</v>
      </c>
      <c r="N105" s="29">
        <v>0.97426542599285804</v>
      </c>
      <c r="O105" s="29">
        <v>0.5</v>
      </c>
      <c r="P105" s="30">
        <v>7</v>
      </c>
      <c r="Q105" s="30">
        <v>99999999</v>
      </c>
      <c r="R105" s="31">
        <v>43</v>
      </c>
    </row>
    <row r="106" spans="1:18" x14ac:dyDescent="0.3">
      <c r="A106" s="28">
        <v>13</v>
      </c>
      <c r="B106" s="29" t="s">
        <v>40</v>
      </c>
      <c r="C106" s="29" t="s">
        <v>19</v>
      </c>
      <c r="D106" s="29" t="s">
        <v>39</v>
      </c>
      <c r="E106" s="29">
        <v>3.58489999780431E-3</v>
      </c>
      <c r="F106" s="30">
        <v>60000</v>
      </c>
      <c r="G106" s="30">
        <v>10000</v>
      </c>
      <c r="H106" s="29">
        <v>131.385169300017</v>
      </c>
      <c r="I106" s="30">
        <v>9549</v>
      </c>
      <c r="J106" s="30">
        <v>451</v>
      </c>
      <c r="K106" s="29">
        <v>0.95489999999999997</v>
      </c>
      <c r="L106" s="29">
        <v>0.95590146030964995</v>
      </c>
      <c r="M106" s="29">
        <v>0.95453995929879898</v>
      </c>
      <c r="N106" s="29">
        <v>0.95487514653498495</v>
      </c>
      <c r="O106" s="29">
        <v>0.5</v>
      </c>
      <c r="P106" s="30">
        <v>7</v>
      </c>
      <c r="Q106" s="30">
        <v>99999999</v>
      </c>
      <c r="R106" s="31">
        <v>43</v>
      </c>
    </row>
    <row r="107" spans="1:18" x14ac:dyDescent="0.3">
      <c r="A107" s="28">
        <v>3</v>
      </c>
      <c r="B107" s="29" t="s">
        <v>40</v>
      </c>
      <c r="C107" s="29" t="s">
        <v>22</v>
      </c>
      <c r="D107" s="29" t="s">
        <v>20</v>
      </c>
      <c r="E107" s="29">
        <v>116.54943730001099</v>
      </c>
      <c r="F107" s="30">
        <v>60000</v>
      </c>
      <c r="G107" s="30">
        <v>10000</v>
      </c>
      <c r="H107" s="29">
        <v>127.992766299983</v>
      </c>
      <c r="I107" s="30">
        <v>9740</v>
      </c>
      <c r="J107" s="30">
        <v>260</v>
      </c>
      <c r="K107" s="29">
        <v>0.97399999999999998</v>
      </c>
      <c r="L107" s="29">
        <v>0.97423032154200995</v>
      </c>
      <c r="M107" s="29">
        <v>0.97359587417482196</v>
      </c>
      <c r="N107" s="29">
        <v>0.97384892590588101</v>
      </c>
      <c r="O107" s="29">
        <v>0.5</v>
      </c>
      <c r="P107" s="30">
        <v>7</v>
      </c>
      <c r="Q107" s="30">
        <v>99999999</v>
      </c>
      <c r="R107" s="31">
        <v>784</v>
      </c>
    </row>
    <row r="108" spans="1:18" x14ac:dyDescent="0.3">
      <c r="A108" s="28">
        <v>19</v>
      </c>
      <c r="B108" s="29" t="s">
        <v>40</v>
      </c>
      <c r="C108" s="29" t="s">
        <v>22</v>
      </c>
      <c r="D108" s="29" t="s">
        <v>26</v>
      </c>
      <c r="E108" s="29">
        <v>578.64474499999699</v>
      </c>
      <c r="F108" s="30">
        <v>60000</v>
      </c>
      <c r="G108" s="30">
        <v>10000</v>
      </c>
      <c r="H108" s="29">
        <v>587.52733170002398</v>
      </c>
      <c r="I108" s="30">
        <v>9778</v>
      </c>
      <c r="J108" s="30">
        <v>222</v>
      </c>
      <c r="K108" s="29">
        <v>0.9778</v>
      </c>
      <c r="L108" s="29">
        <v>0.977572998640032</v>
      </c>
      <c r="M108" s="29">
        <v>0.97761699122704104</v>
      </c>
      <c r="N108" s="29">
        <v>0.97756501797080797</v>
      </c>
      <c r="O108" s="29">
        <v>0.228580506497157</v>
      </c>
      <c r="P108" s="30">
        <v>7</v>
      </c>
      <c r="Q108" s="30">
        <v>99999999</v>
      </c>
      <c r="R108" s="31">
        <v>43</v>
      </c>
    </row>
    <row r="109" spans="1:18" x14ac:dyDescent="0.3">
      <c r="A109" s="28">
        <v>11</v>
      </c>
      <c r="B109" s="29" t="s">
        <v>40</v>
      </c>
      <c r="C109" s="29" t="s">
        <v>22</v>
      </c>
      <c r="D109" s="29" t="s">
        <v>25</v>
      </c>
      <c r="E109" s="29">
        <v>292.45988129999</v>
      </c>
      <c r="F109" s="30">
        <v>60000</v>
      </c>
      <c r="G109" s="30">
        <v>10000</v>
      </c>
      <c r="H109" s="29">
        <v>302.46602680004401</v>
      </c>
      <c r="I109" s="30">
        <v>9066</v>
      </c>
      <c r="J109" s="30">
        <v>934</v>
      </c>
      <c r="K109" s="29">
        <v>0.90659999999999996</v>
      </c>
      <c r="L109" s="29">
        <v>0.90576269173659096</v>
      </c>
      <c r="M109" s="29">
        <v>0.90599485808914904</v>
      </c>
      <c r="N109" s="29">
        <v>0.905772716198598</v>
      </c>
      <c r="O109" s="29">
        <v>0.5</v>
      </c>
      <c r="P109" s="30">
        <v>7</v>
      </c>
      <c r="Q109" s="30">
        <v>99999999</v>
      </c>
      <c r="R109" s="31">
        <v>9</v>
      </c>
    </row>
    <row r="110" spans="1:18" x14ac:dyDescent="0.3">
      <c r="A110" s="28">
        <v>7</v>
      </c>
      <c r="B110" s="29" t="s">
        <v>40</v>
      </c>
      <c r="C110" s="29" t="s">
        <v>22</v>
      </c>
      <c r="D110" s="29" t="s">
        <v>24</v>
      </c>
      <c r="E110" s="29">
        <v>40.645329700026103</v>
      </c>
      <c r="F110" s="30">
        <v>60000</v>
      </c>
      <c r="G110" s="30">
        <v>10000</v>
      </c>
      <c r="H110" s="29">
        <v>48.077123499999203</v>
      </c>
      <c r="I110" s="30">
        <v>9844</v>
      </c>
      <c r="J110" s="30">
        <v>156</v>
      </c>
      <c r="K110" s="29">
        <v>0.98440000000000005</v>
      </c>
      <c r="L110" s="29">
        <v>0.98426613862948698</v>
      </c>
      <c r="M110" s="29">
        <v>0.98428383624528704</v>
      </c>
      <c r="N110" s="29">
        <v>0.98426942419289198</v>
      </c>
      <c r="O110" s="29">
        <v>0.5</v>
      </c>
      <c r="P110" s="30">
        <v>7</v>
      </c>
      <c r="Q110" s="30">
        <v>99999999</v>
      </c>
      <c r="R110" s="31">
        <v>43</v>
      </c>
    </row>
    <row r="111" spans="1:18" x14ac:dyDescent="0.3">
      <c r="A111" s="28">
        <v>15</v>
      </c>
      <c r="B111" s="29" t="s">
        <v>40</v>
      </c>
      <c r="C111" s="29" t="s">
        <v>22</v>
      </c>
      <c r="D111" s="29" t="s">
        <v>39</v>
      </c>
      <c r="E111" s="29">
        <v>149.12788860005</v>
      </c>
      <c r="F111" s="30">
        <v>60000</v>
      </c>
      <c r="G111" s="30">
        <v>10000</v>
      </c>
      <c r="H111" s="29">
        <v>245.70565759995901</v>
      </c>
      <c r="I111" s="30">
        <v>9541</v>
      </c>
      <c r="J111" s="30">
        <v>459</v>
      </c>
      <c r="K111" s="29">
        <v>0.95409999999999995</v>
      </c>
      <c r="L111" s="29">
        <v>0.95508638877669405</v>
      </c>
      <c r="M111" s="29">
        <v>0.95373251419279703</v>
      </c>
      <c r="N111" s="29">
        <v>0.95404679544433302</v>
      </c>
      <c r="O111" s="29">
        <v>0.5</v>
      </c>
      <c r="P111" s="30">
        <v>7</v>
      </c>
      <c r="Q111" s="30">
        <v>99999999</v>
      </c>
      <c r="R111" s="31">
        <v>43</v>
      </c>
    </row>
    <row r="112" spans="1:18" x14ac:dyDescent="0.3">
      <c r="A112" s="32">
        <v>4</v>
      </c>
      <c r="B112" s="33" t="s">
        <v>40</v>
      </c>
      <c r="C112" s="33" t="s">
        <v>23</v>
      </c>
      <c r="D112" s="33" t="s">
        <v>20</v>
      </c>
      <c r="E112" s="33">
        <v>190.16524559998601</v>
      </c>
      <c r="F112" s="34">
        <v>60000</v>
      </c>
      <c r="G112" s="34">
        <v>10000</v>
      </c>
      <c r="H112" s="33">
        <v>272.64351919997699</v>
      </c>
      <c r="I112" s="34">
        <v>9769</v>
      </c>
      <c r="J112" s="34">
        <v>231</v>
      </c>
      <c r="K112" s="33">
        <v>0.97689999999999999</v>
      </c>
      <c r="L112" s="33">
        <v>0.97690066532352604</v>
      </c>
      <c r="M112" s="33">
        <v>0.97672943844189797</v>
      </c>
      <c r="N112" s="33">
        <v>0.97679711853192996</v>
      </c>
      <c r="O112" s="33">
        <v>0.5</v>
      </c>
      <c r="P112" s="34">
        <v>7</v>
      </c>
      <c r="Q112" s="34">
        <v>99999999</v>
      </c>
      <c r="R112" s="35">
        <v>784</v>
      </c>
    </row>
    <row r="113" spans="1:18" x14ac:dyDescent="0.3">
      <c r="A113" s="32">
        <v>20</v>
      </c>
      <c r="B113" s="33" t="s">
        <v>40</v>
      </c>
      <c r="C113" s="33" t="s">
        <v>23</v>
      </c>
      <c r="D113" s="33" t="s">
        <v>26</v>
      </c>
      <c r="E113" s="33">
        <v>16.2238015000475</v>
      </c>
      <c r="F113" s="34">
        <v>60000</v>
      </c>
      <c r="G113" s="34">
        <v>10000</v>
      </c>
      <c r="H113" s="33">
        <v>35.063002899987602</v>
      </c>
      <c r="I113" s="34">
        <v>9716</v>
      </c>
      <c r="J113" s="34">
        <v>284</v>
      </c>
      <c r="K113" s="33">
        <v>0.97160000000000002</v>
      </c>
      <c r="L113" s="33">
        <v>0.97151332627187004</v>
      </c>
      <c r="M113" s="33">
        <v>0.97134577964822699</v>
      </c>
      <c r="N113" s="33">
        <v>0.97135136670798405</v>
      </c>
      <c r="O113" s="33">
        <v>0.228580506497157</v>
      </c>
      <c r="P113" s="34">
        <v>7</v>
      </c>
      <c r="Q113" s="34">
        <v>99999999</v>
      </c>
      <c r="R113" s="35">
        <v>43</v>
      </c>
    </row>
    <row r="114" spans="1:18" x14ac:dyDescent="0.3">
      <c r="A114" s="32">
        <v>12</v>
      </c>
      <c r="B114" s="33" t="s">
        <v>40</v>
      </c>
      <c r="C114" s="33" t="s">
        <v>23</v>
      </c>
      <c r="D114" s="33" t="s">
        <v>25</v>
      </c>
      <c r="E114" s="33">
        <v>9.5339392999885604</v>
      </c>
      <c r="F114" s="34">
        <v>60000</v>
      </c>
      <c r="G114" s="34">
        <v>10000</v>
      </c>
      <c r="H114" s="33">
        <v>27.663788200006799</v>
      </c>
      <c r="I114" s="34">
        <v>9215</v>
      </c>
      <c r="J114" s="34">
        <v>785</v>
      </c>
      <c r="K114" s="33">
        <v>0.92149999999999999</v>
      </c>
      <c r="L114" s="33">
        <v>0.92059384230693497</v>
      </c>
      <c r="M114" s="33">
        <v>0.92049934335000205</v>
      </c>
      <c r="N114" s="33">
        <v>0.92046066663606596</v>
      </c>
      <c r="O114" s="33">
        <v>0.5</v>
      </c>
      <c r="P114" s="34">
        <v>7</v>
      </c>
      <c r="Q114" s="34">
        <v>99999999</v>
      </c>
      <c r="R114" s="35">
        <v>9</v>
      </c>
    </row>
    <row r="115" spans="1:18" x14ac:dyDescent="0.3">
      <c r="A115" s="32">
        <v>8</v>
      </c>
      <c r="B115" s="33" t="s">
        <v>40</v>
      </c>
      <c r="C115" s="33" t="s">
        <v>23</v>
      </c>
      <c r="D115" s="33" t="s">
        <v>24</v>
      </c>
      <c r="E115" s="33">
        <v>22.905953900015401</v>
      </c>
      <c r="F115" s="34">
        <v>60000</v>
      </c>
      <c r="G115" s="34">
        <v>10000</v>
      </c>
      <c r="H115" s="33">
        <v>39.828025099995997</v>
      </c>
      <c r="I115" s="34">
        <v>9828</v>
      </c>
      <c r="J115" s="34">
        <v>172</v>
      </c>
      <c r="K115" s="33">
        <v>0.98280000000000001</v>
      </c>
      <c r="L115" s="33">
        <v>0.98282875900734701</v>
      </c>
      <c r="M115" s="33">
        <v>0.98268949686034102</v>
      </c>
      <c r="N115" s="33">
        <v>0.98275365829470596</v>
      </c>
      <c r="O115" s="33">
        <v>0.5</v>
      </c>
      <c r="P115" s="34">
        <v>7</v>
      </c>
      <c r="Q115" s="34">
        <v>99999999</v>
      </c>
      <c r="R115" s="35">
        <v>43</v>
      </c>
    </row>
    <row r="116" spans="1:18" x14ac:dyDescent="0.3">
      <c r="A116" s="32">
        <v>16</v>
      </c>
      <c r="B116" s="33" t="s">
        <v>40</v>
      </c>
      <c r="C116" s="33" t="s">
        <v>23</v>
      </c>
      <c r="D116" s="33" t="s">
        <v>39</v>
      </c>
      <c r="E116" s="33">
        <v>9.9538173999753692</v>
      </c>
      <c r="F116" s="34">
        <v>60000</v>
      </c>
      <c r="G116" s="34">
        <v>10000</v>
      </c>
      <c r="H116" s="33">
        <v>112.746560599945</v>
      </c>
      <c r="I116" s="34">
        <v>9541</v>
      </c>
      <c r="J116" s="34">
        <v>459</v>
      </c>
      <c r="K116" s="33">
        <v>0.95409999999999995</v>
      </c>
      <c r="L116" s="33">
        <v>0.955127787035982</v>
      </c>
      <c r="M116" s="33">
        <v>0.95371011078114198</v>
      </c>
      <c r="N116" s="33">
        <v>0.95405432803913703</v>
      </c>
      <c r="O116" s="33">
        <v>0.5</v>
      </c>
      <c r="P116" s="34">
        <v>7</v>
      </c>
      <c r="Q116" s="34">
        <v>99999999</v>
      </c>
      <c r="R116" s="35">
        <v>43</v>
      </c>
    </row>
    <row r="117" spans="1:18" x14ac:dyDescent="0.3">
      <c r="A117" s="32">
        <v>2</v>
      </c>
      <c r="B117" s="33" t="s">
        <v>40</v>
      </c>
      <c r="C117" s="33" t="s">
        <v>21</v>
      </c>
      <c r="D117" s="33" t="s">
        <v>20</v>
      </c>
      <c r="E117" s="33">
        <v>25.857699999993201</v>
      </c>
      <c r="F117" s="34">
        <v>60000</v>
      </c>
      <c r="G117" s="34">
        <v>10000</v>
      </c>
      <c r="H117" s="33">
        <v>37.228751700022201</v>
      </c>
      <c r="I117" s="34">
        <v>9654</v>
      </c>
      <c r="J117" s="34">
        <v>346</v>
      </c>
      <c r="K117" s="33">
        <v>0.96540000000000004</v>
      </c>
      <c r="L117" s="33">
        <v>0.96525082196498102</v>
      </c>
      <c r="M117" s="33">
        <v>0.96520194998789299</v>
      </c>
      <c r="N117" s="33">
        <v>0.96520490723492103</v>
      </c>
      <c r="O117" s="33">
        <v>0.5</v>
      </c>
      <c r="P117" s="34">
        <v>7</v>
      </c>
      <c r="Q117" s="34">
        <v>99999999</v>
      </c>
      <c r="R117" s="35">
        <v>784</v>
      </c>
    </row>
    <row r="118" spans="1:18" x14ac:dyDescent="0.3">
      <c r="A118" s="32">
        <v>18</v>
      </c>
      <c r="B118" s="33" t="s">
        <v>40</v>
      </c>
      <c r="C118" s="33" t="s">
        <v>21</v>
      </c>
      <c r="D118" s="33" t="s">
        <v>26</v>
      </c>
      <c r="E118" s="33">
        <v>2.59206350002205</v>
      </c>
      <c r="F118" s="34">
        <v>60000</v>
      </c>
      <c r="G118" s="34">
        <v>10000</v>
      </c>
      <c r="H118" s="33">
        <v>11.549190699995901</v>
      </c>
      <c r="I118" s="34">
        <v>9757</v>
      </c>
      <c r="J118" s="34">
        <v>243</v>
      </c>
      <c r="K118" s="33">
        <v>0.97570000000000001</v>
      </c>
      <c r="L118" s="33">
        <v>0.975552547634157</v>
      </c>
      <c r="M118" s="33">
        <v>0.97557792779554697</v>
      </c>
      <c r="N118" s="33">
        <v>0.97553725959616</v>
      </c>
      <c r="O118" s="33">
        <v>0.228580506497157</v>
      </c>
      <c r="P118" s="34">
        <v>7</v>
      </c>
      <c r="Q118" s="34">
        <v>99999999</v>
      </c>
      <c r="R118" s="35">
        <v>43</v>
      </c>
    </row>
    <row r="119" spans="1:18" x14ac:dyDescent="0.3">
      <c r="A119" s="32">
        <v>10</v>
      </c>
      <c r="B119" s="33" t="s">
        <v>40</v>
      </c>
      <c r="C119" s="33" t="s">
        <v>21</v>
      </c>
      <c r="D119" s="33" t="s">
        <v>25</v>
      </c>
      <c r="E119" s="33">
        <v>2.8999726999900299</v>
      </c>
      <c r="F119" s="34">
        <v>60000</v>
      </c>
      <c r="G119" s="34">
        <v>10000</v>
      </c>
      <c r="H119" s="33">
        <v>13.323630600003501</v>
      </c>
      <c r="I119" s="34">
        <v>9128</v>
      </c>
      <c r="J119" s="34">
        <v>872</v>
      </c>
      <c r="K119" s="33">
        <v>0.91279999999999994</v>
      </c>
      <c r="L119" s="33">
        <v>0.91166802139724701</v>
      </c>
      <c r="M119" s="33">
        <v>0.91165103572328499</v>
      </c>
      <c r="N119" s="33">
        <v>0.91157932268179298</v>
      </c>
      <c r="O119" s="33">
        <v>0.5</v>
      </c>
      <c r="P119" s="34">
        <v>7</v>
      </c>
      <c r="Q119" s="34">
        <v>99999999</v>
      </c>
      <c r="R119" s="35">
        <v>9</v>
      </c>
    </row>
    <row r="120" spans="1:18" x14ac:dyDescent="0.3">
      <c r="A120" s="32">
        <v>6</v>
      </c>
      <c r="B120" s="33" t="s">
        <v>40</v>
      </c>
      <c r="C120" s="33" t="s">
        <v>21</v>
      </c>
      <c r="D120" s="33" t="s">
        <v>24</v>
      </c>
      <c r="E120" s="33">
        <v>6.9086437000078096</v>
      </c>
      <c r="F120" s="34">
        <v>60000</v>
      </c>
      <c r="G120" s="34">
        <v>10000</v>
      </c>
      <c r="H120" s="33">
        <v>14.6811242999974</v>
      </c>
      <c r="I120" s="34">
        <v>9551</v>
      </c>
      <c r="J120" s="34">
        <v>449</v>
      </c>
      <c r="K120" s="33">
        <v>0.95509999999999995</v>
      </c>
      <c r="L120" s="33">
        <v>0.95454035035060003</v>
      </c>
      <c r="M120" s="33">
        <v>0.95469273804404897</v>
      </c>
      <c r="N120" s="33">
        <v>0.95459587963546</v>
      </c>
      <c r="O120" s="33">
        <v>0.5</v>
      </c>
      <c r="P120" s="34">
        <v>7</v>
      </c>
      <c r="Q120" s="34">
        <v>99999999</v>
      </c>
      <c r="R120" s="35">
        <v>43</v>
      </c>
    </row>
    <row r="121" spans="1:18" x14ac:dyDescent="0.3">
      <c r="A121" s="32">
        <v>14</v>
      </c>
      <c r="B121" s="33" t="s">
        <v>40</v>
      </c>
      <c r="C121" s="33" t="s">
        <v>21</v>
      </c>
      <c r="D121" s="33" t="s">
        <v>39</v>
      </c>
      <c r="E121" s="33">
        <v>4.2577204999979497</v>
      </c>
      <c r="F121" s="34">
        <v>60000</v>
      </c>
      <c r="G121" s="34">
        <v>10000</v>
      </c>
      <c r="H121" s="33">
        <v>101.792012899997</v>
      </c>
      <c r="I121" s="34">
        <v>9556</v>
      </c>
      <c r="J121" s="34">
        <v>444</v>
      </c>
      <c r="K121" s="33">
        <v>0.9556</v>
      </c>
      <c r="L121" s="33">
        <v>0.956578278118145</v>
      </c>
      <c r="M121" s="33">
        <v>0.95525618174571802</v>
      </c>
      <c r="N121" s="33">
        <v>0.95558906495617502</v>
      </c>
      <c r="O121" s="33">
        <v>0.5</v>
      </c>
      <c r="P121" s="34">
        <v>7</v>
      </c>
      <c r="Q121" s="34">
        <v>99999999</v>
      </c>
      <c r="R121" s="35">
        <v>43</v>
      </c>
    </row>
    <row r="122" spans="1:18" x14ac:dyDescent="0.3">
      <c r="A122" s="28">
        <v>121</v>
      </c>
      <c r="B122" s="29" t="s">
        <v>46</v>
      </c>
      <c r="C122" s="29" t="s">
        <v>19</v>
      </c>
      <c r="D122" s="29" t="s">
        <v>20</v>
      </c>
      <c r="E122" s="29">
        <v>3.4709600033238502E-2</v>
      </c>
      <c r="F122" s="30">
        <v>60000</v>
      </c>
      <c r="G122" s="30">
        <v>10000</v>
      </c>
      <c r="H122" s="29">
        <v>14.6433887999737</v>
      </c>
      <c r="I122" s="30">
        <v>9162</v>
      </c>
      <c r="J122" s="30">
        <v>838</v>
      </c>
      <c r="K122" s="29">
        <v>0.91620000000000001</v>
      </c>
      <c r="L122" s="29">
        <v>0.92415035861098704</v>
      </c>
      <c r="M122" s="29">
        <v>0.914996149224511</v>
      </c>
      <c r="N122" s="29">
        <v>0.91688710262540196</v>
      </c>
      <c r="O122" s="29">
        <v>0.5</v>
      </c>
      <c r="P122" s="30">
        <v>7</v>
      </c>
      <c r="Q122" s="30">
        <v>99999999</v>
      </c>
      <c r="R122" s="31">
        <v>784</v>
      </c>
    </row>
    <row r="123" spans="1:18" x14ac:dyDescent="0.3">
      <c r="A123" s="28">
        <v>137</v>
      </c>
      <c r="B123" s="29" t="s">
        <v>46</v>
      </c>
      <c r="C123" s="29" t="s">
        <v>19</v>
      </c>
      <c r="D123" s="29" t="s">
        <v>26</v>
      </c>
      <c r="E123" s="29">
        <v>5.0976999918930198E-3</v>
      </c>
      <c r="F123" s="30">
        <v>60000</v>
      </c>
      <c r="G123" s="30">
        <v>10000</v>
      </c>
      <c r="H123" s="29">
        <v>11.978514800022801</v>
      </c>
      <c r="I123" s="30">
        <v>9182</v>
      </c>
      <c r="J123" s="30">
        <v>818</v>
      </c>
      <c r="K123" s="29">
        <v>0.91820000000000002</v>
      </c>
      <c r="L123" s="29">
        <v>0.91907201934460403</v>
      </c>
      <c r="M123" s="29">
        <v>0.91692359986223404</v>
      </c>
      <c r="N123" s="29">
        <v>0.91748687390023997</v>
      </c>
      <c r="O123" s="29">
        <v>0.228580506497157</v>
      </c>
      <c r="P123" s="30">
        <v>7</v>
      </c>
      <c r="Q123" s="30">
        <v>99999999</v>
      </c>
      <c r="R123" s="31">
        <v>43</v>
      </c>
    </row>
    <row r="124" spans="1:18" x14ac:dyDescent="0.3">
      <c r="A124" s="28">
        <v>129</v>
      </c>
      <c r="B124" s="29" t="s">
        <v>46</v>
      </c>
      <c r="C124" s="29" t="s">
        <v>19</v>
      </c>
      <c r="D124" s="29" t="s">
        <v>25</v>
      </c>
      <c r="E124" s="29">
        <v>7.5486200046725502E-2</v>
      </c>
      <c r="F124" s="30">
        <v>60000</v>
      </c>
      <c r="G124" s="30">
        <v>10000</v>
      </c>
      <c r="H124" s="29">
        <v>10.3782498000073</v>
      </c>
      <c r="I124" s="30">
        <v>8761</v>
      </c>
      <c r="J124" s="30">
        <v>1239</v>
      </c>
      <c r="K124" s="29">
        <v>0.87609999999999999</v>
      </c>
      <c r="L124" s="29">
        <v>0.87419604584324695</v>
      </c>
      <c r="M124" s="29">
        <v>0.87433314706833998</v>
      </c>
      <c r="N124" s="29">
        <v>0.87393200356860201</v>
      </c>
      <c r="O124" s="29">
        <v>0.5</v>
      </c>
      <c r="P124" s="30">
        <v>7</v>
      </c>
      <c r="Q124" s="30">
        <v>99999999</v>
      </c>
      <c r="R124" s="31">
        <v>9</v>
      </c>
    </row>
    <row r="125" spans="1:18" x14ac:dyDescent="0.3">
      <c r="A125" s="28">
        <v>125</v>
      </c>
      <c r="B125" s="29" t="s">
        <v>46</v>
      </c>
      <c r="C125" s="29" t="s">
        <v>19</v>
      </c>
      <c r="D125" s="29" t="s">
        <v>24</v>
      </c>
      <c r="E125" s="29">
        <v>3.8657999830320399E-3</v>
      </c>
      <c r="F125" s="30">
        <v>60000</v>
      </c>
      <c r="G125" s="30">
        <v>10000</v>
      </c>
      <c r="H125" s="29">
        <v>6.9949005999951597</v>
      </c>
      <c r="I125" s="30">
        <v>9647</v>
      </c>
      <c r="J125" s="30">
        <v>353</v>
      </c>
      <c r="K125" s="29">
        <v>0.9647</v>
      </c>
      <c r="L125" s="29">
        <v>0.96499920738941003</v>
      </c>
      <c r="M125" s="29">
        <v>0.96440749869242304</v>
      </c>
      <c r="N125" s="29">
        <v>0.96462022108684198</v>
      </c>
      <c r="O125" s="29">
        <v>0.5</v>
      </c>
      <c r="P125" s="30">
        <v>7</v>
      </c>
      <c r="Q125" s="30">
        <v>99999999</v>
      </c>
      <c r="R125" s="31">
        <v>43</v>
      </c>
    </row>
    <row r="126" spans="1:18" x14ac:dyDescent="0.3">
      <c r="A126" s="28">
        <v>133</v>
      </c>
      <c r="B126" s="29" t="s">
        <v>46</v>
      </c>
      <c r="C126" s="29" t="s">
        <v>19</v>
      </c>
      <c r="D126" s="29" t="s">
        <v>39</v>
      </c>
      <c r="E126" s="29">
        <v>4.5095999957993601E-3</v>
      </c>
      <c r="F126" s="30">
        <v>60000</v>
      </c>
      <c r="G126" s="30">
        <v>10000</v>
      </c>
      <c r="H126" s="29">
        <v>138.558400899986</v>
      </c>
      <c r="I126" s="30">
        <v>9282</v>
      </c>
      <c r="J126" s="30">
        <v>718</v>
      </c>
      <c r="K126" s="29">
        <v>0.92820000000000003</v>
      </c>
      <c r="L126" s="29">
        <v>0.92954509839514998</v>
      </c>
      <c r="M126" s="29">
        <v>0.92732371334858199</v>
      </c>
      <c r="N126" s="29">
        <v>0.92781592273160296</v>
      </c>
      <c r="O126" s="29">
        <v>0.5</v>
      </c>
      <c r="P126" s="30">
        <v>7</v>
      </c>
      <c r="Q126" s="30">
        <v>99999999</v>
      </c>
      <c r="R126" s="31">
        <v>43</v>
      </c>
    </row>
    <row r="127" spans="1:18" x14ac:dyDescent="0.3">
      <c r="A127" s="28">
        <v>123</v>
      </c>
      <c r="B127" s="29" t="s">
        <v>46</v>
      </c>
      <c r="C127" s="29" t="s">
        <v>22</v>
      </c>
      <c r="D127" s="29" t="s">
        <v>20</v>
      </c>
      <c r="E127" s="29">
        <v>99.545708700024903</v>
      </c>
      <c r="F127" s="30">
        <v>60000</v>
      </c>
      <c r="G127" s="30">
        <v>10000</v>
      </c>
      <c r="H127" s="29">
        <v>109.451810600003</v>
      </c>
      <c r="I127" s="30">
        <v>9447</v>
      </c>
      <c r="J127" s="30">
        <v>553</v>
      </c>
      <c r="K127" s="29">
        <v>0.94469999999999998</v>
      </c>
      <c r="L127" s="29">
        <v>0.94436295716434404</v>
      </c>
      <c r="M127" s="29">
        <v>0.94421902959156401</v>
      </c>
      <c r="N127" s="29">
        <v>0.94422210747995805</v>
      </c>
      <c r="O127" s="29">
        <v>0.5</v>
      </c>
      <c r="P127" s="30">
        <v>7</v>
      </c>
      <c r="Q127" s="30">
        <v>99999999</v>
      </c>
      <c r="R127" s="31">
        <v>784</v>
      </c>
    </row>
    <row r="128" spans="1:18" x14ac:dyDescent="0.3">
      <c r="A128" s="28">
        <v>139</v>
      </c>
      <c r="B128" s="29" t="s">
        <v>46</v>
      </c>
      <c r="C128" s="29" t="s">
        <v>22</v>
      </c>
      <c r="D128" s="29" t="s">
        <v>26</v>
      </c>
      <c r="E128" s="29">
        <v>946.56598650000501</v>
      </c>
      <c r="F128" s="30">
        <v>60000</v>
      </c>
      <c r="G128" s="30">
        <v>10000</v>
      </c>
      <c r="H128" s="29">
        <v>958.952766999951</v>
      </c>
      <c r="I128" s="30">
        <v>9371</v>
      </c>
      <c r="J128" s="30">
        <v>629</v>
      </c>
      <c r="K128" s="29">
        <v>0.93710000000000004</v>
      </c>
      <c r="L128" s="29">
        <v>0.936845670002178</v>
      </c>
      <c r="M128" s="29">
        <v>0.93717829663324004</v>
      </c>
      <c r="N128" s="29">
        <v>0.93666960238910002</v>
      </c>
      <c r="O128" s="29">
        <v>0.228580506497157</v>
      </c>
      <c r="P128" s="30">
        <v>7</v>
      </c>
      <c r="Q128" s="30">
        <v>99999999</v>
      </c>
      <c r="R128" s="31">
        <v>43</v>
      </c>
    </row>
    <row r="129" spans="1:18" x14ac:dyDescent="0.3">
      <c r="A129" s="28">
        <v>131</v>
      </c>
      <c r="B129" s="29" t="s">
        <v>46</v>
      </c>
      <c r="C129" s="29" t="s">
        <v>22</v>
      </c>
      <c r="D129" s="29" t="s">
        <v>25</v>
      </c>
      <c r="E129" s="29">
        <v>555.45778920000805</v>
      </c>
      <c r="F129" s="30">
        <v>60000</v>
      </c>
      <c r="G129" s="30">
        <v>10000</v>
      </c>
      <c r="H129" s="29">
        <v>566.56800160004002</v>
      </c>
      <c r="I129" s="30">
        <v>8541</v>
      </c>
      <c r="J129" s="30">
        <v>1459</v>
      </c>
      <c r="K129" s="29">
        <v>0.85409999999999997</v>
      </c>
      <c r="L129" s="29">
        <v>0.85291835251418102</v>
      </c>
      <c r="M129" s="29">
        <v>0.85265511751896095</v>
      </c>
      <c r="N129" s="29">
        <v>0.85237523389459602</v>
      </c>
      <c r="O129" s="29">
        <v>0.5</v>
      </c>
      <c r="P129" s="30">
        <v>7</v>
      </c>
      <c r="Q129" s="30">
        <v>99999999</v>
      </c>
      <c r="R129" s="31">
        <v>9</v>
      </c>
    </row>
    <row r="130" spans="1:18" x14ac:dyDescent="0.3">
      <c r="A130" s="28">
        <v>127</v>
      </c>
      <c r="B130" s="29" t="s">
        <v>46</v>
      </c>
      <c r="C130" s="29" t="s">
        <v>22</v>
      </c>
      <c r="D130" s="29" t="s">
        <v>24</v>
      </c>
      <c r="E130" s="29">
        <v>37.558400099980602</v>
      </c>
      <c r="F130" s="30">
        <v>60000</v>
      </c>
      <c r="G130" s="30">
        <v>10000</v>
      </c>
      <c r="H130" s="29">
        <v>44.239864200004298</v>
      </c>
      <c r="I130" s="30">
        <v>9727</v>
      </c>
      <c r="J130" s="30">
        <v>273</v>
      </c>
      <c r="K130" s="29">
        <v>0.97270000000000001</v>
      </c>
      <c r="L130" s="29">
        <v>0.97273607886291102</v>
      </c>
      <c r="M130" s="29">
        <v>0.97252413958056505</v>
      </c>
      <c r="N130" s="29">
        <v>0.97260864531817903</v>
      </c>
      <c r="O130" s="29">
        <v>0.5</v>
      </c>
      <c r="P130" s="30">
        <v>7</v>
      </c>
      <c r="Q130" s="30">
        <v>99999999</v>
      </c>
      <c r="R130" s="31">
        <v>43</v>
      </c>
    </row>
    <row r="131" spans="1:18" x14ac:dyDescent="0.3">
      <c r="A131" s="28">
        <v>135</v>
      </c>
      <c r="B131" s="29" t="s">
        <v>46</v>
      </c>
      <c r="C131" s="29" t="s">
        <v>22</v>
      </c>
      <c r="D131" s="29" t="s">
        <v>39</v>
      </c>
      <c r="E131" s="29">
        <v>198.737386499997</v>
      </c>
      <c r="F131" s="30">
        <v>60000</v>
      </c>
      <c r="G131" s="30">
        <v>10000</v>
      </c>
      <c r="H131" s="29">
        <v>330.92685580003302</v>
      </c>
      <c r="I131" s="30">
        <v>9221</v>
      </c>
      <c r="J131" s="30">
        <v>779</v>
      </c>
      <c r="K131" s="29">
        <v>0.92210000000000003</v>
      </c>
      <c r="L131" s="29">
        <v>0.92540099692128797</v>
      </c>
      <c r="M131" s="29">
        <v>0.921243590120992</v>
      </c>
      <c r="N131" s="29">
        <v>0.92209953544918899</v>
      </c>
      <c r="O131" s="29">
        <v>0.5</v>
      </c>
      <c r="P131" s="30">
        <v>7</v>
      </c>
      <c r="Q131" s="30">
        <v>99999999</v>
      </c>
      <c r="R131" s="31">
        <v>43</v>
      </c>
    </row>
    <row r="132" spans="1:18" x14ac:dyDescent="0.3">
      <c r="A132" s="32">
        <v>124</v>
      </c>
      <c r="B132" s="33" t="s">
        <v>46</v>
      </c>
      <c r="C132" s="33" t="s">
        <v>23</v>
      </c>
      <c r="D132" s="33" t="s">
        <v>20</v>
      </c>
      <c r="E132" s="33">
        <v>357.65055619995098</v>
      </c>
      <c r="F132" s="34">
        <v>60000</v>
      </c>
      <c r="G132" s="34">
        <v>10000</v>
      </c>
      <c r="H132" s="33">
        <v>488.11015959997798</v>
      </c>
      <c r="I132" s="34">
        <v>9405</v>
      </c>
      <c r="J132" s="34">
        <v>595</v>
      </c>
      <c r="K132" s="33">
        <v>0.9405</v>
      </c>
      <c r="L132" s="33">
        <v>0.93999398428380199</v>
      </c>
      <c r="M132" s="33">
        <v>0.93981185600740402</v>
      </c>
      <c r="N132" s="33">
        <v>0.93980637954952295</v>
      </c>
      <c r="O132" s="33">
        <v>0.5</v>
      </c>
      <c r="P132" s="34">
        <v>7</v>
      </c>
      <c r="Q132" s="34">
        <v>99999999</v>
      </c>
      <c r="R132" s="35">
        <v>784</v>
      </c>
    </row>
    <row r="133" spans="1:18" x14ac:dyDescent="0.3">
      <c r="A133" s="32">
        <v>140</v>
      </c>
      <c r="B133" s="33" t="s">
        <v>46</v>
      </c>
      <c r="C133" s="33" t="s">
        <v>23</v>
      </c>
      <c r="D133" s="33" t="s">
        <v>26</v>
      </c>
      <c r="E133" s="33">
        <v>32.293624899990299</v>
      </c>
      <c r="F133" s="34">
        <v>60000</v>
      </c>
      <c r="G133" s="34">
        <v>10000</v>
      </c>
      <c r="H133" s="33">
        <v>57.265677899995303</v>
      </c>
      <c r="I133" s="34">
        <v>9343</v>
      </c>
      <c r="J133" s="34">
        <v>657</v>
      </c>
      <c r="K133" s="33">
        <v>0.93430000000000002</v>
      </c>
      <c r="L133" s="33">
        <v>0.93436383622062302</v>
      </c>
      <c r="M133" s="33">
        <v>0.93352410733255398</v>
      </c>
      <c r="N133" s="33">
        <v>0.93377596485793202</v>
      </c>
      <c r="O133" s="33">
        <v>0.228580506497157</v>
      </c>
      <c r="P133" s="34">
        <v>7</v>
      </c>
      <c r="Q133" s="34">
        <v>99999999</v>
      </c>
      <c r="R133" s="35">
        <v>43</v>
      </c>
    </row>
    <row r="134" spans="1:18" x14ac:dyDescent="0.3">
      <c r="A134" s="32">
        <v>132</v>
      </c>
      <c r="B134" s="33" t="s">
        <v>46</v>
      </c>
      <c r="C134" s="33" t="s">
        <v>23</v>
      </c>
      <c r="D134" s="33" t="s">
        <v>25</v>
      </c>
      <c r="E134" s="33">
        <v>15.9505701999878</v>
      </c>
      <c r="F134" s="34">
        <v>60000</v>
      </c>
      <c r="G134" s="34">
        <v>10000</v>
      </c>
      <c r="H134" s="33">
        <v>39.784880499995701</v>
      </c>
      <c r="I134" s="34">
        <v>8919</v>
      </c>
      <c r="J134" s="34">
        <v>1081</v>
      </c>
      <c r="K134" s="33">
        <v>0.89190000000000003</v>
      </c>
      <c r="L134" s="33">
        <v>0.89032347191000505</v>
      </c>
      <c r="M134" s="33">
        <v>0.89045334121379704</v>
      </c>
      <c r="N134" s="33">
        <v>0.89027268941625404</v>
      </c>
      <c r="O134" s="33">
        <v>0.5</v>
      </c>
      <c r="P134" s="34">
        <v>7</v>
      </c>
      <c r="Q134" s="34">
        <v>99999999</v>
      </c>
      <c r="R134" s="35">
        <v>9</v>
      </c>
    </row>
    <row r="135" spans="1:18" x14ac:dyDescent="0.3">
      <c r="A135" s="32">
        <v>128</v>
      </c>
      <c r="B135" s="33" t="s">
        <v>46</v>
      </c>
      <c r="C135" s="33" t="s">
        <v>23</v>
      </c>
      <c r="D135" s="33" t="s">
        <v>24</v>
      </c>
      <c r="E135" s="33">
        <v>22.520382099959502</v>
      </c>
      <c r="F135" s="34">
        <v>60000</v>
      </c>
      <c r="G135" s="34">
        <v>10000</v>
      </c>
      <c r="H135" s="33">
        <v>38.797768999996997</v>
      </c>
      <c r="I135" s="34">
        <v>9732</v>
      </c>
      <c r="J135" s="34">
        <v>268</v>
      </c>
      <c r="K135" s="33">
        <v>0.97319999999999995</v>
      </c>
      <c r="L135" s="33">
        <v>0.97319845582988695</v>
      </c>
      <c r="M135" s="33">
        <v>0.97304165969029699</v>
      </c>
      <c r="N135" s="33">
        <v>0.97310959273619901</v>
      </c>
      <c r="O135" s="33">
        <v>0.5</v>
      </c>
      <c r="P135" s="34">
        <v>7</v>
      </c>
      <c r="Q135" s="34">
        <v>99999999</v>
      </c>
      <c r="R135" s="35">
        <v>43</v>
      </c>
    </row>
    <row r="136" spans="1:18" x14ac:dyDescent="0.3">
      <c r="A136" s="32">
        <v>136</v>
      </c>
      <c r="B136" s="33" t="s">
        <v>46</v>
      </c>
      <c r="C136" s="33" t="s">
        <v>23</v>
      </c>
      <c r="D136" s="33" t="s">
        <v>39</v>
      </c>
      <c r="E136" s="33">
        <v>20.962637400021698</v>
      </c>
      <c r="F136" s="34">
        <v>60000</v>
      </c>
      <c r="G136" s="34">
        <v>10000</v>
      </c>
      <c r="H136" s="33">
        <v>145.31291759997799</v>
      </c>
      <c r="I136" s="34">
        <v>9212</v>
      </c>
      <c r="J136" s="34">
        <v>788</v>
      </c>
      <c r="K136" s="33">
        <v>0.92120000000000002</v>
      </c>
      <c r="L136" s="33">
        <v>0.92540435697189205</v>
      </c>
      <c r="M136" s="33">
        <v>0.92048843800188396</v>
      </c>
      <c r="N136" s="33">
        <v>0.921402906606691</v>
      </c>
      <c r="O136" s="33">
        <v>0.5</v>
      </c>
      <c r="P136" s="34">
        <v>7</v>
      </c>
      <c r="Q136" s="34">
        <v>99999999</v>
      </c>
      <c r="R136" s="35">
        <v>43</v>
      </c>
    </row>
    <row r="137" spans="1:18" x14ac:dyDescent="0.3">
      <c r="A137" s="32">
        <v>122</v>
      </c>
      <c r="B137" s="33" t="s">
        <v>46</v>
      </c>
      <c r="C137" s="33" t="s">
        <v>21</v>
      </c>
      <c r="D137" s="33" t="s">
        <v>20</v>
      </c>
      <c r="E137" s="33">
        <v>26.022056300018399</v>
      </c>
      <c r="F137" s="34">
        <v>60000</v>
      </c>
      <c r="G137" s="34">
        <v>10000</v>
      </c>
      <c r="H137" s="33">
        <v>36.8646830000216</v>
      </c>
      <c r="I137" s="34">
        <v>9309</v>
      </c>
      <c r="J137" s="34">
        <v>691</v>
      </c>
      <c r="K137" s="33">
        <v>0.93089999999999995</v>
      </c>
      <c r="L137" s="33">
        <v>0.93059438616569401</v>
      </c>
      <c r="M137" s="33">
        <v>0.93037072994235903</v>
      </c>
      <c r="N137" s="33">
        <v>0.93036691645264402</v>
      </c>
      <c r="O137" s="33">
        <v>0.5</v>
      </c>
      <c r="P137" s="34">
        <v>7</v>
      </c>
      <c r="Q137" s="34">
        <v>99999999</v>
      </c>
      <c r="R137" s="35">
        <v>784</v>
      </c>
    </row>
    <row r="138" spans="1:18" x14ac:dyDescent="0.3">
      <c r="A138" s="32">
        <v>138</v>
      </c>
      <c r="B138" s="33" t="s">
        <v>46</v>
      </c>
      <c r="C138" s="33" t="s">
        <v>21</v>
      </c>
      <c r="D138" s="33" t="s">
        <v>26</v>
      </c>
      <c r="E138" s="33">
        <v>4.8789366999990298</v>
      </c>
      <c r="F138" s="34">
        <v>60000</v>
      </c>
      <c r="G138" s="34">
        <v>10000</v>
      </c>
      <c r="H138" s="33">
        <v>17.862335100013201</v>
      </c>
      <c r="I138" s="34">
        <v>9376</v>
      </c>
      <c r="J138" s="34">
        <v>624</v>
      </c>
      <c r="K138" s="33">
        <v>0.93759999999999999</v>
      </c>
      <c r="L138" s="33">
        <v>0.93730548531317104</v>
      </c>
      <c r="M138" s="33">
        <v>0.93694402483784001</v>
      </c>
      <c r="N138" s="33">
        <v>0.93705160077096705</v>
      </c>
      <c r="O138" s="33">
        <v>0.228580506497157</v>
      </c>
      <c r="P138" s="34">
        <v>7</v>
      </c>
      <c r="Q138" s="34">
        <v>99999999</v>
      </c>
      <c r="R138" s="35">
        <v>43</v>
      </c>
    </row>
    <row r="139" spans="1:18" x14ac:dyDescent="0.3">
      <c r="A139" s="32">
        <v>130</v>
      </c>
      <c r="B139" s="33" t="s">
        <v>46</v>
      </c>
      <c r="C139" s="33" t="s">
        <v>21</v>
      </c>
      <c r="D139" s="33" t="s">
        <v>25</v>
      </c>
      <c r="E139" s="33">
        <v>2.85765520000131</v>
      </c>
      <c r="F139" s="34">
        <v>60000</v>
      </c>
      <c r="G139" s="34">
        <v>10000</v>
      </c>
      <c r="H139" s="33">
        <v>13.2344955000444</v>
      </c>
      <c r="I139" s="34">
        <v>8835</v>
      </c>
      <c r="J139" s="34">
        <v>1165</v>
      </c>
      <c r="K139" s="33">
        <v>0.88349999999999995</v>
      </c>
      <c r="L139" s="33">
        <v>0.881888968411354</v>
      </c>
      <c r="M139" s="33">
        <v>0.88196116005528502</v>
      </c>
      <c r="N139" s="33">
        <v>0.88181404794413998</v>
      </c>
      <c r="O139" s="33">
        <v>0.5</v>
      </c>
      <c r="P139" s="34">
        <v>7</v>
      </c>
      <c r="Q139" s="34">
        <v>99999999</v>
      </c>
      <c r="R139" s="35">
        <v>9</v>
      </c>
    </row>
    <row r="140" spans="1:18" x14ac:dyDescent="0.3">
      <c r="A140" s="32">
        <v>126</v>
      </c>
      <c r="B140" s="33" t="s">
        <v>46</v>
      </c>
      <c r="C140" s="33" t="s">
        <v>21</v>
      </c>
      <c r="D140" s="33" t="s">
        <v>24</v>
      </c>
      <c r="E140" s="33">
        <v>5.2827528000343502</v>
      </c>
      <c r="F140" s="34">
        <v>60000</v>
      </c>
      <c r="G140" s="34">
        <v>10000</v>
      </c>
      <c r="H140" s="33">
        <v>12.1091812999802</v>
      </c>
      <c r="I140" s="34">
        <v>9350</v>
      </c>
      <c r="J140" s="34">
        <v>650</v>
      </c>
      <c r="K140" s="33">
        <v>0.93500000000000005</v>
      </c>
      <c r="L140" s="33">
        <v>0.93437881682317603</v>
      </c>
      <c r="M140" s="33">
        <v>0.93443914123423</v>
      </c>
      <c r="N140" s="33">
        <v>0.93435814784105398</v>
      </c>
      <c r="O140" s="33">
        <v>0.5</v>
      </c>
      <c r="P140" s="34">
        <v>7</v>
      </c>
      <c r="Q140" s="34">
        <v>99999999</v>
      </c>
      <c r="R140" s="35">
        <v>43</v>
      </c>
    </row>
    <row r="141" spans="1:18" x14ac:dyDescent="0.3">
      <c r="A141" s="32">
        <v>134</v>
      </c>
      <c r="B141" s="33" t="s">
        <v>46</v>
      </c>
      <c r="C141" s="33" t="s">
        <v>21</v>
      </c>
      <c r="D141" s="33" t="s">
        <v>39</v>
      </c>
      <c r="E141" s="33">
        <v>7.0419967999914599</v>
      </c>
      <c r="F141" s="34">
        <v>60000</v>
      </c>
      <c r="G141" s="34">
        <v>10000</v>
      </c>
      <c r="H141" s="33">
        <v>140.868561999988</v>
      </c>
      <c r="I141" s="34">
        <v>9334</v>
      </c>
      <c r="J141" s="34">
        <v>666</v>
      </c>
      <c r="K141" s="33">
        <v>0.93340000000000001</v>
      </c>
      <c r="L141" s="33">
        <v>0.93466205312163697</v>
      </c>
      <c r="M141" s="33">
        <v>0.932652553650264</v>
      </c>
      <c r="N141" s="33">
        <v>0.93319848109551196</v>
      </c>
      <c r="O141" s="33">
        <v>0.5</v>
      </c>
      <c r="P141" s="34">
        <v>7</v>
      </c>
      <c r="Q141" s="34">
        <v>99999999</v>
      </c>
      <c r="R141" s="35">
        <v>43</v>
      </c>
    </row>
    <row r="142" spans="1:18" x14ac:dyDescent="0.3">
      <c r="A142" s="28">
        <v>141</v>
      </c>
      <c r="B142" s="29" t="s">
        <v>47</v>
      </c>
      <c r="C142" s="29" t="s">
        <v>19</v>
      </c>
      <c r="D142" s="29" t="s">
        <v>20</v>
      </c>
      <c r="E142" s="29">
        <v>3.2726800011005197E-2</v>
      </c>
      <c r="F142" s="30">
        <v>60000</v>
      </c>
      <c r="G142" s="30">
        <v>10000</v>
      </c>
      <c r="H142" s="29">
        <v>15.840137000021</v>
      </c>
      <c r="I142" s="30">
        <v>8789</v>
      </c>
      <c r="J142" s="30">
        <v>1211</v>
      </c>
      <c r="K142" s="29">
        <v>0.87890000000000001</v>
      </c>
      <c r="L142" s="29">
        <v>0.88562953558885005</v>
      </c>
      <c r="M142" s="29">
        <v>0.87618532004151795</v>
      </c>
      <c r="N142" s="29">
        <v>0.87713594524298999</v>
      </c>
      <c r="O142" s="29">
        <v>0.5</v>
      </c>
      <c r="P142" s="30">
        <v>7</v>
      </c>
      <c r="Q142" s="30">
        <v>99999999</v>
      </c>
      <c r="R142" s="31">
        <v>784</v>
      </c>
    </row>
    <row r="143" spans="1:18" x14ac:dyDescent="0.3">
      <c r="A143" s="28">
        <v>157</v>
      </c>
      <c r="B143" s="29" t="s">
        <v>47</v>
      </c>
      <c r="C143" s="29" t="s">
        <v>19</v>
      </c>
      <c r="D143" s="29" t="s">
        <v>26</v>
      </c>
      <c r="E143" s="29">
        <v>4.3909000232815699E-3</v>
      </c>
      <c r="F143" s="30">
        <v>60000</v>
      </c>
      <c r="G143" s="30">
        <v>10000</v>
      </c>
      <c r="H143" s="29">
        <v>10.4200477999984</v>
      </c>
      <c r="I143" s="30">
        <v>9222</v>
      </c>
      <c r="J143" s="30">
        <v>778</v>
      </c>
      <c r="K143" s="29">
        <v>0.92220000000000002</v>
      </c>
      <c r="L143" s="29">
        <v>0.92210801971082301</v>
      </c>
      <c r="M143" s="29">
        <v>0.92095498744974202</v>
      </c>
      <c r="N143" s="29">
        <v>0.92118388592013001</v>
      </c>
      <c r="O143" s="29">
        <v>0.228580506497157</v>
      </c>
      <c r="P143" s="30">
        <v>7</v>
      </c>
      <c r="Q143" s="30">
        <v>99999999</v>
      </c>
      <c r="R143" s="31">
        <v>43</v>
      </c>
    </row>
    <row r="144" spans="1:18" x14ac:dyDescent="0.3">
      <c r="A144" s="28">
        <v>149</v>
      </c>
      <c r="B144" s="29" t="s">
        <v>47</v>
      </c>
      <c r="C144" s="29" t="s">
        <v>19</v>
      </c>
      <c r="D144" s="29" t="s">
        <v>25</v>
      </c>
      <c r="E144" s="29">
        <v>0.111166799964848</v>
      </c>
      <c r="F144" s="30">
        <v>60000</v>
      </c>
      <c r="G144" s="30">
        <v>10000</v>
      </c>
      <c r="H144" s="29">
        <v>10.3232386999879</v>
      </c>
      <c r="I144" s="30">
        <v>8908</v>
      </c>
      <c r="J144" s="30">
        <v>1092</v>
      </c>
      <c r="K144" s="29">
        <v>0.89080000000000004</v>
      </c>
      <c r="L144" s="29">
        <v>0.88933285416600205</v>
      </c>
      <c r="M144" s="29">
        <v>0.88916709305973496</v>
      </c>
      <c r="N144" s="29">
        <v>0.888918254784832</v>
      </c>
      <c r="O144" s="29">
        <v>0.5</v>
      </c>
      <c r="P144" s="30">
        <v>7</v>
      </c>
      <c r="Q144" s="30">
        <v>99999999</v>
      </c>
      <c r="R144" s="31">
        <v>9</v>
      </c>
    </row>
    <row r="145" spans="1:18" x14ac:dyDescent="0.3">
      <c r="A145" s="28">
        <v>145</v>
      </c>
      <c r="B145" s="29" t="s">
        <v>47</v>
      </c>
      <c r="C145" s="29" t="s">
        <v>19</v>
      </c>
      <c r="D145" s="29" t="s">
        <v>24</v>
      </c>
      <c r="E145" s="29">
        <v>3.6341000231914201E-3</v>
      </c>
      <c r="F145" s="30">
        <v>60000</v>
      </c>
      <c r="G145" s="30">
        <v>10000</v>
      </c>
      <c r="H145" s="29">
        <v>7.6396053000353197</v>
      </c>
      <c r="I145" s="30">
        <v>9629</v>
      </c>
      <c r="J145" s="30">
        <v>371</v>
      </c>
      <c r="K145" s="29">
        <v>0.96289999999999998</v>
      </c>
      <c r="L145" s="29">
        <v>0.96307928173795099</v>
      </c>
      <c r="M145" s="29">
        <v>0.96235282003891998</v>
      </c>
      <c r="N145" s="29">
        <v>0.96260231912086103</v>
      </c>
      <c r="O145" s="29">
        <v>0.5</v>
      </c>
      <c r="P145" s="30">
        <v>7</v>
      </c>
      <c r="Q145" s="30">
        <v>99999999</v>
      </c>
      <c r="R145" s="31">
        <v>43</v>
      </c>
    </row>
    <row r="146" spans="1:18" x14ac:dyDescent="0.3">
      <c r="A146" s="28">
        <v>153</v>
      </c>
      <c r="B146" s="29" t="s">
        <v>47</v>
      </c>
      <c r="C146" s="29" t="s">
        <v>19</v>
      </c>
      <c r="D146" s="29" t="s">
        <v>39</v>
      </c>
      <c r="E146" s="29">
        <v>3.4063999773934401E-3</v>
      </c>
      <c r="F146" s="30">
        <v>60000</v>
      </c>
      <c r="G146" s="30">
        <v>10000</v>
      </c>
      <c r="H146" s="29">
        <v>103.035561600001</v>
      </c>
      <c r="I146" s="30">
        <v>9422</v>
      </c>
      <c r="J146" s="30">
        <v>578</v>
      </c>
      <c r="K146" s="29">
        <v>0.94220000000000004</v>
      </c>
      <c r="L146" s="29">
        <v>0.94355314820762304</v>
      </c>
      <c r="M146" s="29">
        <v>0.94126144357009001</v>
      </c>
      <c r="N146" s="29">
        <v>0.94181712330851097</v>
      </c>
      <c r="O146" s="29">
        <v>0.5</v>
      </c>
      <c r="P146" s="30">
        <v>7</v>
      </c>
      <c r="Q146" s="30">
        <v>99999999</v>
      </c>
      <c r="R146" s="31">
        <v>43</v>
      </c>
    </row>
    <row r="147" spans="1:18" x14ac:dyDescent="0.3">
      <c r="A147" s="28">
        <v>143</v>
      </c>
      <c r="B147" s="29" t="s">
        <v>47</v>
      </c>
      <c r="C147" s="29" t="s">
        <v>22</v>
      </c>
      <c r="D147" s="29" t="s">
        <v>20</v>
      </c>
      <c r="E147" s="29">
        <v>159.35879070003199</v>
      </c>
      <c r="F147" s="30">
        <v>60000</v>
      </c>
      <c r="G147" s="30">
        <v>10000</v>
      </c>
      <c r="H147" s="29">
        <v>169.338115399994</v>
      </c>
      <c r="I147" s="30">
        <v>9147</v>
      </c>
      <c r="J147" s="30">
        <v>853</v>
      </c>
      <c r="K147" s="29">
        <v>0.91469999999999996</v>
      </c>
      <c r="L147" s="29">
        <v>0.91437784490796703</v>
      </c>
      <c r="M147" s="29">
        <v>0.91379263983229198</v>
      </c>
      <c r="N147" s="29">
        <v>0.91363211412766998</v>
      </c>
      <c r="O147" s="29">
        <v>0.5</v>
      </c>
      <c r="P147" s="30">
        <v>7</v>
      </c>
      <c r="Q147" s="30">
        <v>99999999</v>
      </c>
      <c r="R147" s="31">
        <v>784</v>
      </c>
    </row>
    <row r="148" spans="1:18" x14ac:dyDescent="0.3">
      <c r="A148" s="28">
        <v>159</v>
      </c>
      <c r="B148" s="29" t="s">
        <v>47</v>
      </c>
      <c r="C148" s="29" t="s">
        <v>22</v>
      </c>
      <c r="D148" s="29" t="s">
        <v>26</v>
      </c>
      <c r="E148" s="29">
        <v>774.91290189995198</v>
      </c>
      <c r="F148" s="30">
        <v>60000</v>
      </c>
      <c r="G148" s="30">
        <v>10000</v>
      </c>
      <c r="H148" s="29">
        <v>784.72018020000496</v>
      </c>
      <c r="I148" s="30">
        <v>9590</v>
      </c>
      <c r="J148" s="30">
        <v>410</v>
      </c>
      <c r="K148" s="29">
        <v>0.95899999999999996</v>
      </c>
      <c r="L148" s="29">
        <v>0.95889084918972001</v>
      </c>
      <c r="M148" s="29">
        <v>0.95882835924434096</v>
      </c>
      <c r="N148" s="29">
        <v>0.95868747714807101</v>
      </c>
      <c r="O148" s="29">
        <v>0.228580506497157</v>
      </c>
      <c r="P148" s="30">
        <v>7</v>
      </c>
      <c r="Q148" s="30">
        <v>99999999</v>
      </c>
      <c r="R148" s="31">
        <v>43</v>
      </c>
    </row>
    <row r="149" spans="1:18" x14ac:dyDescent="0.3">
      <c r="A149" s="28">
        <v>151</v>
      </c>
      <c r="B149" s="29" t="s">
        <v>47</v>
      </c>
      <c r="C149" s="29" t="s">
        <v>22</v>
      </c>
      <c r="D149" s="29" t="s">
        <v>25</v>
      </c>
      <c r="E149" s="29">
        <v>319.986332300002</v>
      </c>
      <c r="F149" s="30">
        <v>60000</v>
      </c>
      <c r="G149" s="30">
        <v>10000</v>
      </c>
      <c r="H149" s="29">
        <v>329.86604539997597</v>
      </c>
      <c r="I149" s="30">
        <v>8745</v>
      </c>
      <c r="J149" s="30">
        <v>1255</v>
      </c>
      <c r="K149" s="29">
        <v>0.87450000000000006</v>
      </c>
      <c r="L149" s="29">
        <v>0.87294787350070102</v>
      </c>
      <c r="M149" s="29">
        <v>0.87327929513739</v>
      </c>
      <c r="N149" s="29">
        <v>0.87303106507889305</v>
      </c>
      <c r="O149" s="29">
        <v>0.5</v>
      </c>
      <c r="P149" s="30">
        <v>7</v>
      </c>
      <c r="Q149" s="30">
        <v>99999999</v>
      </c>
      <c r="R149" s="31">
        <v>9</v>
      </c>
    </row>
    <row r="150" spans="1:18" x14ac:dyDescent="0.3">
      <c r="A150" s="28">
        <v>147</v>
      </c>
      <c r="B150" s="29" t="s">
        <v>47</v>
      </c>
      <c r="C150" s="29" t="s">
        <v>22</v>
      </c>
      <c r="D150" s="29" t="s">
        <v>24</v>
      </c>
      <c r="E150" s="29">
        <v>45.400502800010102</v>
      </c>
      <c r="F150" s="30">
        <v>60000</v>
      </c>
      <c r="G150" s="30">
        <v>10000</v>
      </c>
      <c r="H150" s="29">
        <v>52.807646200002601</v>
      </c>
      <c r="I150" s="30">
        <v>9787</v>
      </c>
      <c r="J150" s="30">
        <v>213</v>
      </c>
      <c r="K150" s="29">
        <v>0.97870000000000001</v>
      </c>
      <c r="L150" s="29">
        <v>0.97872987288262903</v>
      </c>
      <c r="M150" s="29">
        <v>0.97840130605638997</v>
      </c>
      <c r="N150" s="29">
        <v>0.97853221648858502</v>
      </c>
      <c r="O150" s="29">
        <v>0.5</v>
      </c>
      <c r="P150" s="30">
        <v>7</v>
      </c>
      <c r="Q150" s="30">
        <v>99999999</v>
      </c>
      <c r="R150" s="31">
        <v>43</v>
      </c>
    </row>
    <row r="151" spans="1:18" x14ac:dyDescent="0.3">
      <c r="A151" s="28">
        <v>155</v>
      </c>
      <c r="B151" s="29" t="s">
        <v>47</v>
      </c>
      <c r="C151" s="29" t="s">
        <v>22</v>
      </c>
      <c r="D151" s="29" t="s">
        <v>39</v>
      </c>
      <c r="E151" s="29">
        <v>237.25640559999701</v>
      </c>
      <c r="F151" s="30">
        <v>60000</v>
      </c>
      <c r="G151" s="30">
        <v>10000</v>
      </c>
      <c r="H151" s="29">
        <v>342.04272969998402</v>
      </c>
      <c r="I151" s="30">
        <v>9401</v>
      </c>
      <c r="J151" s="30">
        <v>599</v>
      </c>
      <c r="K151" s="29">
        <v>0.94010000000000005</v>
      </c>
      <c r="L151" s="29">
        <v>0.94130101980041103</v>
      </c>
      <c r="M151" s="29">
        <v>0.93897716562905098</v>
      </c>
      <c r="N151" s="29">
        <v>0.93953136034907903</v>
      </c>
      <c r="O151" s="29">
        <v>0.5</v>
      </c>
      <c r="P151" s="30">
        <v>7</v>
      </c>
      <c r="Q151" s="30">
        <v>99999999</v>
      </c>
      <c r="R151" s="31">
        <v>43</v>
      </c>
    </row>
    <row r="152" spans="1:18" x14ac:dyDescent="0.3">
      <c r="A152" s="32">
        <v>144</v>
      </c>
      <c r="B152" s="33" t="s">
        <v>47</v>
      </c>
      <c r="C152" s="33" t="s">
        <v>23</v>
      </c>
      <c r="D152" s="33" t="s">
        <v>20</v>
      </c>
      <c r="E152" s="33">
        <v>281.09667369996799</v>
      </c>
      <c r="F152" s="34">
        <v>60000</v>
      </c>
      <c r="G152" s="34">
        <v>10000</v>
      </c>
      <c r="H152" s="33">
        <v>391.40985649998697</v>
      </c>
      <c r="I152" s="34">
        <v>9312</v>
      </c>
      <c r="J152" s="34">
        <v>688</v>
      </c>
      <c r="K152" s="33">
        <v>0.93120000000000003</v>
      </c>
      <c r="L152" s="33">
        <v>0.93060811853811498</v>
      </c>
      <c r="M152" s="33">
        <v>0.92991009632946298</v>
      </c>
      <c r="N152" s="33">
        <v>0.93005635051479396</v>
      </c>
      <c r="O152" s="33">
        <v>0.5</v>
      </c>
      <c r="P152" s="34">
        <v>7</v>
      </c>
      <c r="Q152" s="34">
        <v>99999999</v>
      </c>
      <c r="R152" s="35">
        <v>784</v>
      </c>
    </row>
    <row r="153" spans="1:18" x14ac:dyDescent="0.3">
      <c r="A153" s="32">
        <v>160</v>
      </c>
      <c r="B153" s="33" t="s">
        <v>47</v>
      </c>
      <c r="C153" s="33" t="s">
        <v>23</v>
      </c>
      <c r="D153" s="33" t="s">
        <v>26</v>
      </c>
      <c r="E153" s="33">
        <v>30.316004100022798</v>
      </c>
      <c r="F153" s="34">
        <v>60000</v>
      </c>
      <c r="G153" s="34">
        <v>10000</v>
      </c>
      <c r="H153" s="33">
        <v>52.813929099996997</v>
      </c>
      <c r="I153" s="34">
        <v>9420</v>
      </c>
      <c r="J153" s="34">
        <v>580</v>
      </c>
      <c r="K153" s="33">
        <v>0.94199999999999995</v>
      </c>
      <c r="L153" s="33">
        <v>0.94197946186367798</v>
      </c>
      <c r="M153" s="33">
        <v>0.94140860664491799</v>
      </c>
      <c r="N153" s="33">
        <v>0.94160625300849798</v>
      </c>
      <c r="O153" s="33">
        <v>0.228580506497157</v>
      </c>
      <c r="P153" s="34">
        <v>7</v>
      </c>
      <c r="Q153" s="34">
        <v>99999999</v>
      </c>
      <c r="R153" s="35">
        <v>43</v>
      </c>
    </row>
    <row r="154" spans="1:18" x14ac:dyDescent="0.3">
      <c r="A154" s="32">
        <v>152</v>
      </c>
      <c r="B154" s="33" t="s">
        <v>47</v>
      </c>
      <c r="C154" s="33" t="s">
        <v>23</v>
      </c>
      <c r="D154" s="33" t="s">
        <v>25</v>
      </c>
      <c r="E154" s="33">
        <v>13.2129441000288</v>
      </c>
      <c r="F154" s="34">
        <v>60000</v>
      </c>
      <c r="G154" s="34">
        <v>10000</v>
      </c>
      <c r="H154" s="33">
        <v>33.105724300025003</v>
      </c>
      <c r="I154" s="34">
        <v>8937</v>
      </c>
      <c r="J154" s="34">
        <v>1063</v>
      </c>
      <c r="K154" s="33">
        <v>0.89370000000000005</v>
      </c>
      <c r="L154" s="33">
        <v>0.89220721535620995</v>
      </c>
      <c r="M154" s="33">
        <v>0.89248503320281003</v>
      </c>
      <c r="N154" s="33">
        <v>0.89221884791483896</v>
      </c>
      <c r="O154" s="33">
        <v>0.5</v>
      </c>
      <c r="P154" s="34">
        <v>7</v>
      </c>
      <c r="Q154" s="34">
        <v>99999999</v>
      </c>
      <c r="R154" s="35">
        <v>9</v>
      </c>
    </row>
    <row r="155" spans="1:18" x14ac:dyDescent="0.3">
      <c r="A155" s="32">
        <v>148</v>
      </c>
      <c r="B155" s="33" t="s">
        <v>47</v>
      </c>
      <c r="C155" s="33" t="s">
        <v>23</v>
      </c>
      <c r="D155" s="33" t="s">
        <v>24</v>
      </c>
      <c r="E155" s="33">
        <v>24.1097050000098</v>
      </c>
      <c r="F155" s="34">
        <v>60000</v>
      </c>
      <c r="G155" s="34">
        <v>10000</v>
      </c>
      <c r="H155" s="33">
        <v>40.079368400038199</v>
      </c>
      <c r="I155" s="34">
        <v>9783</v>
      </c>
      <c r="J155" s="34">
        <v>217</v>
      </c>
      <c r="K155" s="33">
        <v>0.97829999999999995</v>
      </c>
      <c r="L155" s="33">
        <v>0.97825938878781804</v>
      </c>
      <c r="M155" s="33">
        <v>0.97812190888172801</v>
      </c>
      <c r="N155" s="33">
        <v>0.97817918955720895</v>
      </c>
      <c r="O155" s="33">
        <v>0.5</v>
      </c>
      <c r="P155" s="34">
        <v>7</v>
      </c>
      <c r="Q155" s="34">
        <v>99999999</v>
      </c>
      <c r="R155" s="35">
        <v>43</v>
      </c>
    </row>
    <row r="156" spans="1:18" x14ac:dyDescent="0.3">
      <c r="A156" s="32">
        <v>156</v>
      </c>
      <c r="B156" s="33" t="s">
        <v>47</v>
      </c>
      <c r="C156" s="33" t="s">
        <v>23</v>
      </c>
      <c r="D156" s="33" t="s">
        <v>39</v>
      </c>
      <c r="E156" s="33">
        <v>16.713945699972101</v>
      </c>
      <c r="F156" s="34">
        <v>60000</v>
      </c>
      <c r="G156" s="34">
        <v>10000</v>
      </c>
      <c r="H156" s="33">
        <v>133.37901069998</v>
      </c>
      <c r="I156" s="34">
        <v>9409</v>
      </c>
      <c r="J156" s="34">
        <v>591</v>
      </c>
      <c r="K156" s="33">
        <v>0.94089999999999996</v>
      </c>
      <c r="L156" s="33">
        <v>0.94210522352749804</v>
      </c>
      <c r="M156" s="33">
        <v>0.93994561119759101</v>
      </c>
      <c r="N156" s="33">
        <v>0.94045608438194706</v>
      </c>
      <c r="O156" s="33">
        <v>0.5</v>
      </c>
      <c r="P156" s="34">
        <v>7</v>
      </c>
      <c r="Q156" s="34">
        <v>99999999</v>
      </c>
      <c r="R156" s="35">
        <v>43</v>
      </c>
    </row>
    <row r="157" spans="1:18" x14ac:dyDescent="0.3">
      <c r="A157" s="32">
        <v>142</v>
      </c>
      <c r="B157" s="33" t="s">
        <v>47</v>
      </c>
      <c r="C157" s="33" t="s">
        <v>21</v>
      </c>
      <c r="D157" s="33" t="s">
        <v>20</v>
      </c>
      <c r="E157" s="33">
        <v>24.824826899974099</v>
      </c>
      <c r="F157" s="34">
        <v>60000</v>
      </c>
      <c r="G157" s="34">
        <v>10000</v>
      </c>
      <c r="H157" s="33">
        <v>36.570840299944301</v>
      </c>
      <c r="I157" s="34">
        <v>9095</v>
      </c>
      <c r="J157" s="34">
        <v>905</v>
      </c>
      <c r="K157" s="33">
        <v>0.90949999999999998</v>
      </c>
      <c r="L157" s="33">
        <v>0.90921546752542004</v>
      </c>
      <c r="M157" s="33">
        <v>0.90804104536487495</v>
      </c>
      <c r="N157" s="33">
        <v>0.90826712086754802</v>
      </c>
      <c r="O157" s="33">
        <v>0.5</v>
      </c>
      <c r="P157" s="34">
        <v>7</v>
      </c>
      <c r="Q157" s="34">
        <v>99999999</v>
      </c>
      <c r="R157" s="35">
        <v>784</v>
      </c>
    </row>
    <row r="158" spans="1:18" x14ac:dyDescent="0.3">
      <c r="A158" s="32">
        <v>158</v>
      </c>
      <c r="B158" s="33" t="s">
        <v>47</v>
      </c>
      <c r="C158" s="33" t="s">
        <v>21</v>
      </c>
      <c r="D158" s="33" t="s">
        <v>26</v>
      </c>
      <c r="E158" s="33">
        <v>3.6171267000027001</v>
      </c>
      <c r="F158" s="34">
        <v>60000</v>
      </c>
      <c r="G158" s="34">
        <v>10000</v>
      </c>
      <c r="H158" s="33">
        <v>13.6957281000213</v>
      </c>
      <c r="I158" s="34">
        <v>9535</v>
      </c>
      <c r="J158" s="34">
        <v>465</v>
      </c>
      <c r="K158" s="33">
        <v>0.95350000000000001</v>
      </c>
      <c r="L158" s="33">
        <v>0.95320154694526804</v>
      </c>
      <c r="M158" s="33">
        <v>0.95340468066850304</v>
      </c>
      <c r="N158" s="33">
        <v>0.95317829148187305</v>
      </c>
      <c r="O158" s="33">
        <v>0.228580506497157</v>
      </c>
      <c r="P158" s="34">
        <v>7</v>
      </c>
      <c r="Q158" s="34">
        <v>99999999</v>
      </c>
      <c r="R158" s="35">
        <v>43</v>
      </c>
    </row>
    <row r="159" spans="1:18" x14ac:dyDescent="0.3">
      <c r="A159" s="32">
        <v>150</v>
      </c>
      <c r="B159" s="33" t="s">
        <v>47</v>
      </c>
      <c r="C159" s="33" t="s">
        <v>21</v>
      </c>
      <c r="D159" s="33" t="s">
        <v>25</v>
      </c>
      <c r="E159" s="33">
        <v>2.5943545000045498</v>
      </c>
      <c r="F159" s="34">
        <v>60000</v>
      </c>
      <c r="G159" s="34">
        <v>10000</v>
      </c>
      <c r="H159" s="33">
        <v>12.7289381999871</v>
      </c>
      <c r="I159" s="34">
        <v>8869</v>
      </c>
      <c r="J159" s="34">
        <v>1131</v>
      </c>
      <c r="K159" s="33">
        <v>0.88690000000000002</v>
      </c>
      <c r="L159" s="33">
        <v>0.88511724425383298</v>
      </c>
      <c r="M159" s="33">
        <v>0.885519703850705</v>
      </c>
      <c r="N159" s="33">
        <v>0.88525023500512001</v>
      </c>
      <c r="O159" s="33">
        <v>0.5</v>
      </c>
      <c r="P159" s="34">
        <v>7</v>
      </c>
      <c r="Q159" s="34">
        <v>99999999</v>
      </c>
      <c r="R159" s="35">
        <v>9</v>
      </c>
    </row>
    <row r="160" spans="1:18" x14ac:dyDescent="0.3">
      <c r="A160" s="32">
        <v>146</v>
      </c>
      <c r="B160" s="33" t="s">
        <v>47</v>
      </c>
      <c r="C160" s="33" t="s">
        <v>21</v>
      </c>
      <c r="D160" s="33" t="s">
        <v>24</v>
      </c>
      <c r="E160" s="33">
        <v>6.4085443000076303</v>
      </c>
      <c r="F160" s="34">
        <v>60000</v>
      </c>
      <c r="G160" s="34">
        <v>10000</v>
      </c>
      <c r="H160" s="33">
        <v>13.584106600028401</v>
      </c>
      <c r="I160" s="34">
        <v>9468</v>
      </c>
      <c r="J160" s="34">
        <v>532</v>
      </c>
      <c r="K160" s="33">
        <v>0.94679999999999997</v>
      </c>
      <c r="L160" s="33">
        <v>0.94616879062650106</v>
      </c>
      <c r="M160" s="33">
        <v>0.94642601316278896</v>
      </c>
      <c r="N160" s="33">
        <v>0.94626760324537695</v>
      </c>
      <c r="O160" s="33">
        <v>0.5</v>
      </c>
      <c r="P160" s="34">
        <v>7</v>
      </c>
      <c r="Q160" s="34">
        <v>99999999</v>
      </c>
      <c r="R160" s="35">
        <v>43</v>
      </c>
    </row>
    <row r="161" spans="1:18" x14ac:dyDescent="0.3">
      <c r="A161" s="32">
        <v>154</v>
      </c>
      <c r="B161" s="33" t="s">
        <v>47</v>
      </c>
      <c r="C161" s="33" t="s">
        <v>21</v>
      </c>
      <c r="D161" s="33" t="s">
        <v>39</v>
      </c>
      <c r="E161" s="33">
        <v>5.1631205999874501</v>
      </c>
      <c r="F161" s="34">
        <v>60000</v>
      </c>
      <c r="G161" s="34">
        <v>10000</v>
      </c>
      <c r="H161" s="33">
        <v>109.05127880000499</v>
      </c>
      <c r="I161" s="34">
        <v>9423</v>
      </c>
      <c r="J161" s="34">
        <v>577</v>
      </c>
      <c r="K161" s="33">
        <v>0.94230000000000003</v>
      </c>
      <c r="L161" s="33">
        <v>0.943530119601658</v>
      </c>
      <c r="M161" s="33">
        <v>0.941323048531159</v>
      </c>
      <c r="N161" s="33">
        <v>0.94186623577249295</v>
      </c>
      <c r="O161" s="33">
        <v>0.5</v>
      </c>
      <c r="P161" s="34">
        <v>7</v>
      </c>
      <c r="Q161" s="34">
        <v>99999999</v>
      </c>
      <c r="R161" s="35">
        <v>43</v>
      </c>
    </row>
    <row r="162" spans="1:18" x14ac:dyDescent="0.3">
      <c r="A162" s="28">
        <v>161</v>
      </c>
      <c r="B162" s="29" t="s">
        <v>48</v>
      </c>
      <c r="C162" s="29" t="s">
        <v>19</v>
      </c>
      <c r="D162" s="29" t="s">
        <v>20</v>
      </c>
      <c r="E162" s="29">
        <v>3.5456699959467999E-2</v>
      </c>
      <c r="F162" s="30">
        <v>60000</v>
      </c>
      <c r="G162" s="30">
        <v>10000</v>
      </c>
      <c r="H162" s="29">
        <v>16.0502062999876</v>
      </c>
      <c r="I162" s="30">
        <v>9453</v>
      </c>
      <c r="J162" s="30">
        <v>547</v>
      </c>
      <c r="K162" s="29">
        <v>0.94530000000000003</v>
      </c>
      <c r="L162" s="29">
        <v>0.947681809118606</v>
      </c>
      <c r="M162" s="29">
        <v>0.94456521192930798</v>
      </c>
      <c r="N162" s="29">
        <v>0.94525431602949095</v>
      </c>
      <c r="O162" s="29">
        <v>0.5</v>
      </c>
      <c r="P162" s="30">
        <v>7</v>
      </c>
      <c r="Q162" s="30">
        <v>99999999</v>
      </c>
      <c r="R162" s="31">
        <v>784</v>
      </c>
    </row>
    <row r="163" spans="1:18" x14ac:dyDescent="0.3">
      <c r="A163" s="28">
        <v>177</v>
      </c>
      <c r="B163" s="29" t="s">
        <v>48</v>
      </c>
      <c r="C163" s="29" t="s">
        <v>19</v>
      </c>
      <c r="D163" s="29" t="s">
        <v>26</v>
      </c>
      <c r="E163" s="29">
        <v>4.0378000121563604E-3</v>
      </c>
      <c r="F163" s="30">
        <v>60000</v>
      </c>
      <c r="G163" s="30">
        <v>10000</v>
      </c>
      <c r="H163" s="29">
        <v>10.3549349000095</v>
      </c>
      <c r="I163" s="30">
        <v>9317</v>
      </c>
      <c r="J163" s="30">
        <v>683</v>
      </c>
      <c r="K163" s="29">
        <v>0.93169999999999997</v>
      </c>
      <c r="L163" s="29">
        <v>0.93207725382865403</v>
      </c>
      <c r="M163" s="29">
        <v>0.93042209897092398</v>
      </c>
      <c r="N163" s="29">
        <v>0.93081404536253698</v>
      </c>
      <c r="O163" s="29">
        <v>0.228580506497157</v>
      </c>
      <c r="P163" s="30">
        <v>7</v>
      </c>
      <c r="Q163" s="30">
        <v>99999999</v>
      </c>
      <c r="R163" s="31">
        <v>43</v>
      </c>
    </row>
    <row r="164" spans="1:18" x14ac:dyDescent="0.3">
      <c r="A164" s="28">
        <v>169</v>
      </c>
      <c r="B164" s="29" t="s">
        <v>48</v>
      </c>
      <c r="C164" s="29" t="s">
        <v>19</v>
      </c>
      <c r="D164" s="29" t="s">
        <v>25</v>
      </c>
      <c r="E164" s="29">
        <v>0.104852300020866</v>
      </c>
      <c r="F164" s="30">
        <v>60000</v>
      </c>
      <c r="G164" s="30">
        <v>10000</v>
      </c>
      <c r="H164" s="29">
        <v>11.4046561000286</v>
      </c>
      <c r="I164" s="30">
        <v>8532</v>
      </c>
      <c r="J164" s="30">
        <v>1468</v>
      </c>
      <c r="K164" s="29">
        <v>0.85319999999999996</v>
      </c>
      <c r="L164" s="29">
        <v>0.85040214896191701</v>
      </c>
      <c r="M164" s="29">
        <v>0.85044133926232501</v>
      </c>
      <c r="N164" s="29">
        <v>0.84952661422068398</v>
      </c>
      <c r="O164" s="29">
        <v>0.5</v>
      </c>
      <c r="P164" s="30">
        <v>7</v>
      </c>
      <c r="Q164" s="30">
        <v>99999999</v>
      </c>
      <c r="R164" s="31">
        <v>9</v>
      </c>
    </row>
    <row r="165" spans="1:18" x14ac:dyDescent="0.3">
      <c r="A165" s="28">
        <v>165</v>
      </c>
      <c r="B165" s="29" t="s">
        <v>48</v>
      </c>
      <c r="C165" s="29" t="s">
        <v>19</v>
      </c>
      <c r="D165" s="29" t="s">
        <v>24</v>
      </c>
      <c r="E165" s="29">
        <v>4.1840000194497398E-3</v>
      </c>
      <c r="F165" s="30">
        <v>60000</v>
      </c>
      <c r="G165" s="30">
        <v>10000</v>
      </c>
      <c r="H165" s="29">
        <v>7.5713073999504497</v>
      </c>
      <c r="I165" s="30">
        <v>9671</v>
      </c>
      <c r="J165" s="30">
        <v>329</v>
      </c>
      <c r="K165" s="29">
        <v>0.96709999999999996</v>
      </c>
      <c r="L165" s="29">
        <v>0.96722174766617297</v>
      </c>
      <c r="M165" s="29">
        <v>0.96673773724109902</v>
      </c>
      <c r="N165" s="29">
        <v>0.96688178629127797</v>
      </c>
      <c r="O165" s="29">
        <v>0.5</v>
      </c>
      <c r="P165" s="30">
        <v>7</v>
      </c>
      <c r="Q165" s="30">
        <v>99999999</v>
      </c>
      <c r="R165" s="31">
        <v>43</v>
      </c>
    </row>
    <row r="166" spans="1:18" x14ac:dyDescent="0.3">
      <c r="A166" s="28">
        <v>173</v>
      </c>
      <c r="B166" s="29" t="s">
        <v>48</v>
      </c>
      <c r="C166" s="29" t="s">
        <v>19</v>
      </c>
      <c r="D166" s="29" t="s">
        <v>39</v>
      </c>
      <c r="E166" s="29">
        <v>3.7173000164330001E-3</v>
      </c>
      <c r="F166" s="30">
        <v>60000</v>
      </c>
      <c r="G166" s="30">
        <v>10000</v>
      </c>
      <c r="H166" s="29">
        <v>114.729310000024</v>
      </c>
      <c r="I166" s="30">
        <v>9452</v>
      </c>
      <c r="J166" s="30">
        <v>548</v>
      </c>
      <c r="K166" s="29">
        <v>0.94520000000000004</v>
      </c>
      <c r="L166" s="29">
        <v>0.94621065093249401</v>
      </c>
      <c r="M166" s="29">
        <v>0.94460323186420003</v>
      </c>
      <c r="N166" s="29">
        <v>0.94494911277500704</v>
      </c>
      <c r="O166" s="29">
        <v>0.5</v>
      </c>
      <c r="P166" s="30">
        <v>7</v>
      </c>
      <c r="Q166" s="30">
        <v>99999999</v>
      </c>
      <c r="R166" s="31">
        <v>43</v>
      </c>
    </row>
    <row r="167" spans="1:18" x14ac:dyDescent="0.3">
      <c r="A167" s="28">
        <v>163</v>
      </c>
      <c r="B167" s="29" t="s">
        <v>48</v>
      </c>
      <c r="C167" s="29" t="s">
        <v>22</v>
      </c>
      <c r="D167" s="29" t="s">
        <v>20</v>
      </c>
      <c r="E167" s="29">
        <v>130.64192059997001</v>
      </c>
      <c r="F167" s="30">
        <v>60000</v>
      </c>
      <c r="G167" s="30">
        <v>10000</v>
      </c>
      <c r="H167" s="29">
        <v>141.06006240000701</v>
      </c>
      <c r="I167" s="30">
        <v>9650</v>
      </c>
      <c r="J167" s="30">
        <v>350</v>
      </c>
      <c r="K167" s="29">
        <v>0.96499999999999997</v>
      </c>
      <c r="L167" s="29">
        <v>0.96468368566469997</v>
      </c>
      <c r="M167" s="29">
        <v>0.96472198793553798</v>
      </c>
      <c r="N167" s="29">
        <v>0.96467194623471797</v>
      </c>
      <c r="O167" s="29">
        <v>0.5</v>
      </c>
      <c r="P167" s="30">
        <v>7</v>
      </c>
      <c r="Q167" s="30">
        <v>99999999</v>
      </c>
      <c r="R167" s="31">
        <v>784</v>
      </c>
    </row>
    <row r="168" spans="1:18" x14ac:dyDescent="0.3">
      <c r="A168" s="28">
        <v>179</v>
      </c>
      <c r="B168" s="29" t="s">
        <v>48</v>
      </c>
      <c r="C168" s="29" t="s">
        <v>22</v>
      </c>
      <c r="D168" s="29" t="s">
        <v>26</v>
      </c>
      <c r="E168" s="29">
        <v>887.76888420002001</v>
      </c>
      <c r="F168" s="30">
        <v>60000</v>
      </c>
      <c r="G168" s="30">
        <v>10000</v>
      </c>
      <c r="H168" s="29">
        <v>898.35116779996304</v>
      </c>
      <c r="I168" s="30">
        <v>9632</v>
      </c>
      <c r="J168" s="30">
        <v>368</v>
      </c>
      <c r="K168" s="29">
        <v>0.96319999999999995</v>
      </c>
      <c r="L168" s="29">
        <v>0.962796640158321</v>
      </c>
      <c r="M168" s="29">
        <v>0.96253926024390402</v>
      </c>
      <c r="N168" s="29">
        <v>0.96264781182766701</v>
      </c>
      <c r="O168" s="29">
        <v>0.228580506497157</v>
      </c>
      <c r="P168" s="30">
        <v>7</v>
      </c>
      <c r="Q168" s="30">
        <v>99999999</v>
      </c>
      <c r="R168" s="31">
        <v>43</v>
      </c>
    </row>
    <row r="169" spans="1:18" x14ac:dyDescent="0.3">
      <c r="A169" s="28">
        <v>171</v>
      </c>
      <c r="B169" s="29" t="s">
        <v>48</v>
      </c>
      <c r="C169" s="29" t="s">
        <v>22</v>
      </c>
      <c r="D169" s="29" t="s">
        <v>25</v>
      </c>
      <c r="E169" s="29">
        <v>387.89805780001899</v>
      </c>
      <c r="F169" s="30">
        <v>60000</v>
      </c>
      <c r="G169" s="30">
        <v>10000</v>
      </c>
      <c r="H169" s="29">
        <v>399.13797229999898</v>
      </c>
      <c r="I169" s="30">
        <v>8300</v>
      </c>
      <c r="J169" s="30">
        <v>1700</v>
      </c>
      <c r="K169" s="29">
        <v>0.83</v>
      </c>
      <c r="L169" s="29">
        <v>0.82762161060288797</v>
      </c>
      <c r="M169" s="29">
        <v>0.82752156240504204</v>
      </c>
      <c r="N169" s="29">
        <v>0.827410298627412</v>
      </c>
      <c r="O169" s="29">
        <v>0.5</v>
      </c>
      <c r="P169" s="30">
        <v>7</v>
      </c>
      <c r="Q169" s="30">
        <v>99999999</v>
      </c>
      <c r="R169" s="31">
        <v>9</v>
      </c>
    </row>
    <row r="170" spans="1:18" x14ac:dyDescent="0.3">
      <c r="A170" s="28">
        <v>167</v>
      </c>
      <c r="B170" s="29" t="s">
        <v>48</v>
      </c>
      <c r="C170" s="29" t="s">
        <v>22</v>
      </c>
      <c r="D170" s="29" t="s">
        <v>24</v>
      </c>
      <c r="E170" s="29">
        <v>50.913933000003397</v>
      </c>
      <c r="F170" s="30">
        <v>60000</v>
      </c>
      <c r="G170" s="30">
        <v>10000</v>
      </c>
      <c r="H170" s="29">
        <v>58.108421700016997</v>
      </c>
      <c r="I170" s="30">
        <v>9740</v>
      </c>
      <c r="J170" s="30">
        <v>260</v>
      </c>
      <c r="K170" s="29">
        <v>0.97399999999999998</v>
      </c>
      <c r="L170" s="29">
        <v>0.97375130709118096</v>
      </c>
      <c r="M170" s="29">
        <v>0.97372437596434702</v>
      </c>
      <c r="N170" s="29">
        <v>0.97372233944673303</v>
      </c>
      <c r="O170" s="29">
        <v>0.5</v>
      </c>
      <c r="P170" s="30">
        <v>7</v>
      </c>
      <c r="Q170" s="30">
        <v>99999999</v>
      </c>
      <c r="R170" s="31">
        <v>43</v>
      </c>
    </row>
    <row r="171" spans="1:18" x14ac:dyDescent="0.3">
      <c r="A171" s="28">
        <v>175</v>
      </c>
      <c r="B171" s="29" t="s">
        <v>48</v>
      </c>
      <c r="C171" s="29" t="s">
        <v>22</v>
      </c>
      <c r="D171" s="29" t="s">
        <v>39</v>
      </c>
      <c r="E171" s="29">
        <v>174.797527800023</v>
      </c>
      <c r="F171" s="30">
        <v>60000</v>
      </c>
      <c r="G171" s="30">
        <v>10000</v>
      </c>
      <c r="H171" s="29">
        <v>288.27319310000098</v>
      </c>
      <c r="I171" s="30">
        <v>9440</v>
      </c>
      <c r="J171" s="30">
        <v>560</v>
      </c>
      <c r="K171" s="29">
        <v>0.94399999999999995</v>
      </c>
      <c r="L171" s="29">
        <v>0.94528122366682898</v>
      </c>
      <c r="M171" s="29">
        <v>0.94343973355787503</v>
      </c>
      <c r="N171" s="29">
        <v>0.94381733600567297</v>
      </c>
      <c r="O171" s="29">
        <v>0.5</v>
      </c>
      <c r="P171" s="30">
        <v>7</v>
      </c>
      <c r="Q171" s="30">
        <v>99999999</v>
      </c>
      <c r="R171" s="31">
        <v>43</v>
      </c>
    </row>
    <row r="172" spans="1:18" x14ac:dyDescent="0.3">
      <c r="A172" s="32">
        <v>164</v>
      </c>
      <c r="B172" s="33" t="s">
        <v>48</v>
      </c>
      <c r="C172" s="33" t="s">
        <v>23</v>
      </c>
      <c r="D172" s="33" t="s">
        <v>20</v>
      </c>
      <c r="E172" s="33">
        <v>255.82828050001899</v>
      </c>
      <c r="F172" s="34">
        <v>60000</v>
      </c>
      <c r="G172" s="34">
        <v>10000</v>
      </c>
      <c r="H172" s="33">
        <v>406.055139100004</v>
      </c>
      <c r="I172" s="34">
        <v>9619</v>
      </c>
      <c r="J172" s="34">
        <v>381</v>
      </c>
      <c r="K172" s="33">
        <v>0.96189999999999998</v>
      </c>
      <c r="L172" s="33">
        <v>0.96171266305544001</v>
      </c>
      <c r="M172" s="33">
        <v>0.96158289126113405</v>
      </c>
      <c r="N172" s="33">
        <v>0.96154703682786002</v>
      </c>
      <c r="O172" s="33">
        <v>0.5</v>
      </c>
      <c r="P172" s="34">
        <v>7</v>
      </c>
      <c r="Q172" s="34">
        <v>99999999</v>
      </c>
      <c r="R172" s="35">
        <v>784</v>
      </c>
    </row>
    <row r="173" spans="1:18" x14ac:dyDescent="0.3">
      <c r="A173" s="32">
        <v>180</v>
      </c>
      <c r="B173" s="33" t="s">
        <v>48</v>
      </c>
      <c r="C173" s="33" t="s">
        <v>23</v>
      </c>
      <c r="D173" s="33" t="s">
        <v>26</v>
      </c>
      <c r="E173" s="33">
        <v>30.907020599988702</v>
      </c>
      <c r="F173" s="34">
        <v>60000</v>
      </c>
      <c r="G173" s="34">
        <v>10000</v>
      </c>
      <c r="H173" s="33">
        <v>54.649142800015397</v>
      </c>
      <c r="I173" s="34">
        <v>9400</v>
      </c>
      <c r="J173" s="34">
        <v>600</v>
      </c>
      <c r="K173" s="33">
        <v>0.94</v>
      </c>
      <c r="L173" s="33">
        <v>0.94008862894989897</v>
      </c>
      <c r="M173" s="33">
        <v>0.93907058854916703</v>
      </c>
      <c r="N173" s="33">
        <v>0.93941000219339499</v>
      </c>
      <c r="O173" s="33">
        <v>0.228580506497157</v>
      </c>
      <c r="P173" s="34">
        <v>7</v>
      </c>
      <c r="Q173" s="34">
        <v>99999999</v>
      </c>
      <c r="R173" s="35">
        <v>43</v>
      </c>
    </row>
    <row r="174" spans="1:18" x14ac:dyDescent="0.3">
      <c r="A174" s="32">
        <v>172</v>
      </c>
      <c r="B174" s="33" t="s">
        <v>48</v>
      </c>
      <c r="C174" s="33" t="s">
        <v>23</v>
      </c>
      <c r="D174" s="33" t="s">
        <v>25</v>
      </c>
      <c r="E174" s="33">
        <v>16.974072000011802</v>
      </c>
      <c r="F174" s="34">
        <v>60000</v>
      </c>
      <c r="G174" s="34">
        <v>10000</v>
      </c>
      <c r="H174" s="33">
        <v>40.807147099985698</v>
      </c>
      <c r="I174" s="34">
        <v>8645</v>
      </c>
      <c r="J174" s="34">
        <v>1355</v>
      </c>
      <c r="K174" s="33">
        <v>0.86450000000000005</v>
      </c>
      <c r="L174" s="33">
        <v>0.86211345069381096</v>
      </c>
      <c r="M174" s="33">
        <v>0.86245155670187601</v>
      </c>
      <c r="N174" s="33">
        <v>0.86188776070995599</v>
      </c>
      <c r="O174" s="33">
        <v>0.5</v>
      </c>
      <c r="P174" s="34">
        <v>7</v>
      </c>
      <c r="Q174" s="34">
        <v>99999999</v>
      </c>
      <c r="R174" s="35">
        <v>9</v>
      </c>
    </row>
    <row r="175" spans="1:18" x14ac:dyDescent="0.3">
      <c r="A175" s="32">
        <v>168</v>
      </c>
      <c r="B175" s="33" t="s">
        <v>48</v>
      </c>
      <c r="C175" s="33" t="s">
        <v>23</v>
      </c>
      <c r="D175" s="33" t="s">
        <v>24</v>
      </c>
      <c r="E175" s="33">
        <v>34.187116799992502</v>
      </c>
      <c r="F175" s="34">
        <v>60000</v>
      </c>
      <c r="G175" s="34">
        <v>10000</v>
      </c>
      <c r="H175" s="33">
        <v>53.407365400053003</v>
      </c>
      <c r="I175" s="34">
        <v>9738</v>
      </c>
      <c r="J175" s="34">
        <v>262</v>
      </c>
      <c r="K175" s="33">
        <v>0.9738</v>
      </c>
      <c r="L175" s="33">
        <v>0.973817213941224</v>
      </c>
      <c r="M175" s="33">
        <v>0.97366399002608095</v>
      </c>
      <c r="N175" s="33">
        <v>0.97371236909928105</v>
      </c>
      <c r="O175" s="33">
        <v>0.5</v>
      </c>
      <c r="P175" s="34">
        <v>7</v>
      </c>
      <c r="Q175" s="34">
        <v>99999999</v>
      </c>
      <c r="R175" s="35">
        <v>43</v>
      </c>
    </row>
    <row r="176" spans="1:18" x14ac:dyDescent="0.3">
      <c r="A176" s="32">
        <v>176</v>
      </c>
      <c r="B176" s="33" t="s">
        <v>48</v>
      </c>
      <c r="C176" s="33" t="s">
        <v>23</v>
      </c>
      <c r="D176" s="33" t="s">
        <v>39</v>
      </c>
      <c r="E176" s="33">
        <v>15.4843847000156</v>
      </c>
      <c r="F176" s="34">
        <v>60000</v>
      </c>
      <c r="G176" s="34">
        <v>10000</v>
      </c>
      <c r="H176" s="33">
        <v>127.056359199981</v>
      </c>
      <c r="I176" s="34">
        <v>9426</v>
      </c>
      <c r="J176" s="34">
        <v>574</v>
      </c>
      <c r="K176" s="33">
        <v>0.94259999999999999</v>
      </c>
      <c r="L176" s="33">
        <v>0.94393235839356904</v>
      </c>
      <c r="M176" s="33">
        <v>0.94189069594582797</v>
      </c>
      <c r="N176" s="33">
        <v>0.94226884919954901</v>
      </c>
      <c r="O176" s="33">
        <v>0.5</v>
      </c>
      <c r="P176" s="34">
        <v>7</v>
      </c>
      <c r="Q176" s="34">
        <v>99999999</v>
      </c>
      <c r="R176" s="35">
        <v>43</v>
      </c>
    </row>
    <row r="177" spans="1:18" x14ac:dyDescent="0.3">
      <c r="A177" s="32">
        <v>162</v>
      </c>
      <c r="B177" s="33" t="s">
        <v>48</v>
      </c>
      <c r="C177" s="33" t="s">
        <v>21</v>
      </c>
      <c r="D177" s="33" t="s">
        <v>20</v>
      </c>
      <c r="E177" s="33">
        <v>25.039463000022799</v>
      </c>
      <c r="F177" s="34">
        <v>60000</v>
      </c>
      <c r="G177" s="34">
        <v>10000</v>
      </c>
      <c r="H177" s="33">
        <v>36.3556294000009</v>
      </c>
      <c r="I177" s="34">
        <v>9404</v>
      </c>
      <c r="J177" s="34">
        <v>596</v>
      </c>
      <c r="K177" s="33">
        <v>0.94040000000000001</v>
      </c>
      <c r="L177" s="33">
        <v>0.94002408423060502</v>
      </c>
      <c r="M177" s="33">
        <v>0.93993676986900399</v>
      </c>
      <c r="N177" s="33">
        <v>0.93985972954351504</v>
      </c>
      <c r="O177" s="33">
        <v>0.5</v>
      </c>
      <c r="P177" s="34">
        <v>7</v>
      </c>
      <c r="Q177" s="34">
        <v>99999999</v>
      </c>
      <c r="R177" s="35">
        <v>784</v>
      </c>
    </row>
    <row r="178" spans="1:18" x14ac:dyDescent="0.3">
      <c r="A178" s="32">
        <v>178</v>
      </c>
      <c r="B178" s="33" t="s">
        <v>48</v>
      </c>
      <c r="C178" s="33" t="s">
        <v>21</v>
      </c>
      <c r="D178" s="33" t="s">
        <v>26</v>
      </c>
      <c r="E178" s="33">
        <v>3.44572830002289</v>
      </c>
      <c r="F178" s="34">
        <v>60000</v>
      </c>
      <c r="G178" s="34">
        <v>10000</v>
      </c>
      <c r="H178" s="33">
        <v>13.601869800011601</v>
      </c>
      <c r="I178" s="34">
        <v>9526</v>
      </c>
      <c r="J178" s="34">
        <v>474</v>
      </c>
      <c r="K178" s="33">
        <v>0.9526</v>
      </c>
      <c r="L178" s="33">
        <v>0.952333083554737</v>
      </c>
      <c r="M178" s="33">
        <v>0.95200166436781497</v>
      </c>
      <c r="N178" s="33">
        <v>0.952134207805994</v>
      </c>
      <c r="O178" s="33">
        <v>0.228580506497157</v>
      </c>
      <c r="P178" s="34">
        <v>7</v>
      </c>
      <c r="Q178" s="34">
        <v>99999999</v>
      </c>
      <c r="R178" s="35">
        <v>43</v>
      </c>
    </row>
    <row r="179" spans="1:18" x14ac:dyDescent="0.3">
      <c r="A179" s="32">
        <v>170</v>
      </c>
      <c r="B179" s="33" t="s">
        <v>48</v>
      </c>
      <c r="C179" s="33" t="s">
        <v>21</v>
      </c>
      <c r="D179" s="33" t="s">
        <v>25</v>
      </c>
      <c r="E179" s="33">
        <v>3.9328573999810001</v>
      </c>
      <c r="F179" s="34">
        <v>60000</v>
      </c>
      <c r="G179" s="34">
        <v>10000</v>
      </c>
      <c r="H179" s="33">
        <v>14.848997300024999</v>
      </c>
      <c r="I179" s="34">
        <v>8563</v>
      </c>
      <c r="J179" s="34">
        <v>1437</v>
      </c>
      <c r="K179" s="33">
        <v>0.85629999999999995</v>
      </c>
      <c r="L179" s="33">
        <v>0.85344279763446396</v>
      </c>
      <c r="M179" s="33">
        <v>0.85401819812070701</v>
      </c>
      <c r="N179" s="33">
        <v>0.85334229147434104</v>
      </c>
      <c r="O179" s="33">
        <v>0.5</v>
      </c>
      <c r="P179" s="34">
        <v>7</v>
      </c>
      <c r="Q179" s="34">
        <v>99999999</v>
      </c>
      <c r="R179" s="35">
        <v>9</v>
      </c>
    </row>
    <row r="180" spans="1:18" x14ac:dyDescent="0.3">
      <c r="A180" s="32">
        <v>166</v>
      </c>
      <c r="B180" s="33" t="s">
        <v>48</v>
      </c>
      <c r="C180" s="33" t="s">
        <v>21</v>
      </c>
      <c r="D180" s="33" t="s">
        <v>24</v>
      </c>
      <c r="E180" s="33">
        <v>6.5385796999907999</v>
      </c>
      <c r="F180" s="34">
        <v>60000</v>
      </c>
      <c r="G180" s="34">
        <v>10000</v>
      </c>
      <c r="H180" s="33">
        <v>13.772333999979301</v>
      </c>
      <c r="I180" s="34">
        <v>9313</v>
      </c>
      <c r="J180" s="34">
        <v>687</v>
      </c>
      <c r="K180" s="33">
        <v>0.93130000000000002</v>
      </c>
      <c r="L180" s="33">
        <v>0.93045130250444197</v>
      </c>
      <c r="M180" s="33">
        <v>0.93048331680267604</v>
      </c>
      <c r="N180" s="33">
        <v>0.93034080414945897</v>
      </c>
      <c r="O180" s="33">
        <v>0.5</v>
      </c>
      <c r="P180" s="34">
        <v>7</v>
      </c>
      <c r="Q180" s="34">
        <v>99999999</v>
      </c>
      <c r="R180" s="35">
        <v>43</v>
      </c>
    </row>
    <row r="181" spans="1:18" x14ac:dyDescent="0.3">
      <c r="A181" s="32">
        <v>174</v>
      </c>
      <c r="B181" s="33" t="s">
        <v>48</v>
      </c>
      <c r="C181" s="33" t="s">
        <v>21</v>
      </c>
      <c r="D181" s="33" t="s">
        <v>39</v>
      </c>
      <c r="E181" s="33">
        <v>6.4135728999972299</v>
      </c>
      <c r="F181" s="34">
        <v>60000</v>
      </c>
      <c r="G181" s="34">
        <v>10000</v>
      </c>
      <c r="H181" s="33">
        <v>121.670875199954</v>
      </c>
      <c r="I181" s="34">
        <v>9461</v>
      </c>
      <c r="J181" s="34">
        <v>539</v>
      </c>
      <c r="K181" s="33">
        <v>0.94610000000000005</v>
      </c>
      <c r="L181" s="33">
        <v>0.94699140123512704</v>
      </c>
      <c r="M181" s="33">
        <v>0.94550900304146102</v>
      </c>
      <c r="N181" s="33">
        <v>0.94584395043519798</v>
      </c>
      <c r="O181" s="33">
        <v>0.5</v>
      </c>
      <c r="P181" s="34">
        <v>7</v>
      </c>
      <c r="Q181" s="34">
        <v>99999999</v>
      </c>
      <c r="R181" s="35">
        <v>43</v>
      </c>
    </row>
    <row r="182" spans="1:18" x14ac:dyDescent="0.3">
      <c r="A182" s="19">
        <v>1</v>
      </c>
      <c r="B182" s="36" t="s">
        <v>49</v>
      </c>
      <c r="C182" s="36" t="s">
        <v>19</v>
      </c>
      <c r="D182" s="36" t="s">
        <v>20</v>
      </c>
      <c r="E182" s="36">
        <v>4.06152000005022E-2</v>
      </c>
      <c r="F182" s="20">
        <v>60000</v>
      </c>
      <c r="G182" s="20">
        <v>10000</v>
      </c>
      <c r="H182" s="36">
        <v>14.4044373000006</v>
      </c>
      <c r="I182" s="20">
        <v>9524</v>
      </c>
      <c r="J182" s="20">
        <v>476</v>
      </c>
      <c r="K182" s="36">
        <v>0.95240000000000002</v>
      </c>
      <c r="L182" s="36">
        <v>0.95411588043083795</v>
      </c>
      <c r="M182" s="36">
        <v>0.951935972945402</v>
      </c>
      <c r="N182" s="36">
        <v>0.952431273714622</v>
      </c>
      <c r="O182" s="36">
        <v>0.5</v>
      </c>
      <c r="P182" s="20">
        <v>7</v>
      </c>
      <c r="Q182" s="20">
        <v>99999999</v>
      </c>
      <c r="R182" s="24">
        <v>784</v>
      </c>
    </row>
    <row r="183" spans="1:18" x14ac:dyDescent="0.3">
      <c r="A183" s="19">
        <v>17</v>
      </c>
      <c r="B183" s="36" t="s">
        <v>49</v>
      </c>
      <c r="C183" s="36" t="s">
        <v>19</v>
      </c>
      <c r="D183" s="36" t="s">
        <v>26</v>
      </c>
      <c r="E183" s="36">
        <v>5.4898000007597104E-3</v>
      </c>
      <c r="F183" s="20">
        <v>60000</v>
      </c>
      <c r="G183" s="20">
        <v>10000</v>
      </c>
      <c r="H183" s="36">
        <v>17.791562300000798</v>
      </c>
      <c r="I183" s="20">
        <v>9408</v>
      </c>
      <c r="J183" s="20">
        <v>592</v>
      </c>
      <c r="K183" s="36">
        <v>0.94079999999999997</v>
      </c>
      <c r="L183" s="36">
        <v>0.940538262146971</v>
      </c>
      <c r="M183" s="36">
        <v>0.93963353379607994</v>
      </c>
      <c r="N183" s="36">
        <v>0.93986548679176596</v>
      </c>
      <c r="O183" s="36">
        <v>0.228580506497157</v>
      </c>
      <c r="P183" s="20">
        <v>7</v>
      </c>
      <c r="Q183" s="20">
        <v>99999999</v>
      </c>
      <c r="R183" s="24">
        <v>43</v>
      </c>
    </row>
    <row r="184" spans="1:18" x14ac:dyDescent="0.3">
      <c r="A184" s="19">
        <v>9</v>
      </c>
      <c r="B184" s="36" t="s">
        <v>49</v>
      </c>
      <c r="C184" s="36" t="s">
        <v>19</v>
      </c>
      <c r="D184" s="36" t="s">
        <v>25</v>
      </c>
      <c r="E184" s="36">
        <v>0.114904000000024</v>
      </c>
      <c r="F184" s="20">
        <v>60000</v>
      </c>
      <c r="G184" s="20">
        <v>10000</v>
      </c>
      <c r="H184" s="36">
        <v>10.550871799999101</v>
      </c>
      <c r="I184" s="20">
        <v>9179</v>
      </c>
      <c r="J184" s="20">
        <v>821</v>
      </c>
      <c r="K184" s="36">
        <v>0.91790000000000005</v>
      </c>
      <c r="L184" s="36">
        <v>0.91685875727621802</v>
      </c>
      <c r="M184" s="36">
        <v>0.91667922950999803</v>
      </c>
      <c r="N184" s="36">
        <v>0.916634257430187</v>
      </c>
      <c r="O184" s="36">
        <v>0.5</v>
      </c>
      <c r="P184" s="20">
        <v>7</v>
      </c>
      <c r="Q184" s="20">
        <v>99999999</v>
      </c>
      <c r="R184" s="24">
        <v>9</v>
      </c>
    </row>
    <row r="185" spans="1:18" x14ac:dyDescent="0.3">
      <c r="A185" s="19">
        <v>5</v>
      </c>
      <c r="B185" s="36" t="s">
        <v>49</v>
      </c>
      <c r="C185" s="36" t="s">
        <v>19</v>
      </c>
      <c r="D185" s="36" t="s">
        <v>24</v>
      </c>
      <c r="E185" s="36">
        <v>5.2255999999033503E-3</v>
      </c>
      <c r="F185" s="20">
        <v>60000</v>
      </c>
      <c r="G185" s="20">
        <v>10000</v>
      </c>
      <c r="H185" s="36">
        <v>8.1424245999996803</v>
      </c>
      <c r="I185" s="20">
        <v>9744</v>
      </c>
      <c r="J185" s="20">
        <v>256</v>
      </c>
      <c r="K185" s="36">
        <v>0.97440000000000004</v>
      </c>
      <c r="L185" s="36">
        <v>0.974488482899449</v>
      </c>
      <c r="M185" s="36">
        <v>0.97422375359994595</v>
      </c>
      <c r="N185" s="36">
        <v>0.97432119758037705</v>
      </c>
      <c r="O185" s="36">
        <v>0.5</v>
      </c>
      <c r="P185" s="20">
        <v>7</v>
      </c>
      <c r="Q185" s="20">
        <v>99999999</v>
      </c>
      <c r="R185" s="24">
        <v>43</v>
      </c>
    </row>
    <row r="186" spans="1:18" x14ac:dyDescent="0.3">
      <c r="A186" s="19">
        <v>1</v>
      </c>
      <c r="B186" s="36" t="s">
        <v>49</v>
      </c>
      <c r="C186" s="36" t="s">
        <v>19</v>
      </c>
      <c r="D186" s="36" t="s">
        <v>39</v>
      </c>
      <c r="E186" s="36">
        <v>6.4278999925591E-3</v>
      </c>
      <c r="F186" s="20">
        <v>60000</v>
      </c>
      <c r="G186" s="20">
        <v>10000</v>
      </c>
      <c r="H186" s="36">
        <v>148.16955639998099</v>
      </c>
      <c r="I186" s="20">
        <v>9567</v>
      </c>
      <c r="J186" s="20">
        <v>433</v>
      </c>
      <c r="K186" s="36">
        <v>0.95669999999999999</v>
      </c>
      <c r="L186" s="36">
        <v>0.95732179594039102</v>
      </c>
      <c r="M186" s="36">
        <v>0.95641696596232395</v>
      </c>
      <c r="N186" s="36">
        <v>0.95662945919939302</v>
      </c>
      <c r="O186" s="36">
        <v>0.5</v>
      </c>
      <c r="P186" s="20">
        <v>7</v>
      </c>
      <c r="Q186" s="20">
        <v>99999999</v>
      </c>
      <c r="R186" s="24">
        <v>43</v>
      </c>
    </row>
    <row r="187" spans="1:18" x14ac:dyDescent="0.3">
      <c r="A187" s="19">
        <v>3</v>
      </c>
      <c r="B187" s="36" t="s">
        <v>49</v>
      </c>
      <c r="C187" s="36" t="s">
        <v>22</v>
      </c>
      <c r="D187" s="36" t="s">
        <v>20</v>
      </c>
      <c r="E187" s="36">
        <v>66.566711899999902</v>
      </c>
      <c r="F187" s="20">
        <v>60000</v>
      </c>
      <c r="G187" s="20">
        <v>10000</v>
      </c>
      <c r="H187" s="36">
        <v>77.717876200000305</v>
      </c>
      <c r="I187" s="20">
        <v>9753</v>
      </c>
      <c r="J187" s="20">
        <v>247</v>
      </c>
      <c r="K187" s="36">
        <v>0.97529999999999994</v>
      </c>
      <c r="L187" s="36">
        <v>0.97523572961490701</v>
      </c>
      <c r="M187" s="36">
        <v>0.97518740778233504</v>
      </c>
      <c r="N187" s="36">
        <v>0.97519591231900904</v>
      </c>
      <c r="O187" s="36">
        <v>0.5</v>
      </c>
      <c r="P187" s="20">
        <v>7</v>
      </c>
      <c r="Q187" s="20">
        <v>99999999</v>
      </c>
      <c r="R187" s="24">
        <v>784</v>
      </c>
    </row>
    <row r="188" spans="1:18" x14ac:dyDescent="0.3">
      <c r="A188" s="19">
        <v>19</v>
      </c>
      <c r="B188" s="36" t="s">
        <v>49</v>
      </c>
      <c r="C188" s="36" t="s">
        <v>22</v>
      </c>
      <c r="D188" s="36" t="s">
        <v>26</v>
      </c>
      <c r="E188" s="36">
        <v>656.45521220000001</v>
      </c>
      <c r="F188" s="20">
        <v>60000</v>
      </c>
      <c r="G188" s="20">
        <v>10000</v>
      </c>
      <c r="H188" s="36">
        <v>667.00688769999999</v>
      </c>
      <c r="I188" s="20">
        <v>9642</v>
      </c>
      <c r="J188" s="20">
        <v>358</v>
      </c>
      <c r="K188" s="36">
        <v>0.96419999999999995</v>
      </c>
      <c r="L188" s="36">
        <v>0.96435856367349004</v>
      </c>
      <c r="M188" s="36">
        <v>0.96358161518018004</v>
      </c>
      <c r="N188" s="36">
        <v>0.96382108473573502</v>
      </c>
      <c r="O188" s="36">
        <v>0.228580506497157</v>
      </c>
      <c r="P188" s="20">
        <v>7</v>
      </c>
      <c r="Q188" s="20">
        <v>99999999</v>
      </c>
      <c r="R188" s="24">
        <v>43</v>
      </c>
    </row>
    <row r="189" spans="1:18" x14ac:dyDescent="0.3">
      <c r="A189" s="19">
        <v>11</v>
      </c>
      <c r="B189" s="36" t="s">
        <v>49</v>
      </c>
      <c r="C189" s="36" t="s">
        <v>22</v>
      </c>
      <c r="D189" s="36" t="s">
        <v>25</v>
      </c>
      <c r="E189" s="36">
        <v>266.14313579999998</v>
      </c>
      <c r="F189" s="20">
        <v>60000</v>
      </c>
      <c r="G189" s="20">
        <v>10000</v>
      </c>
      <c r="H189" s="36">
        <v>275.613367199999</v>
      </c>
      <c r="I189" s="20">
        <v>9102</v>
      </c>
      <c r="J189" s="20">
        <v>898</v>
      </c>
      <c r="K189" s="36">
        <v>0.91020000000000001</v>
      </c>
      <c r="L189" s="36">
        <v>0.90991654871391803</v>
      </c>
      <c r="M189" s="36">
        <v>0.90903980575996102</v>
      </c>
      <c r="N189" s="36">
        <v>0.90929657933698904</v>
      </c>
      <c r="O189" s="36">
        <v>0.5</v>
      </c>
      <c r="P189" s="20">
        <v>7</v>
      </c>
      <c r="Q189" s="20">
        <v>99999999</v>
      </c>
      <c r="R189" s="24">
        <v>9</v>
      </c>
    </row>
    <row r="190" spans="1:18" x14ac:dyDescent="0.3">
      <c r="A190" s="19">
        <v>7</v>
      </c>
      <c r="B190" s="36" t="s">
        <v>49</v>
      </c>
      <c r="C190" s="36" t="s">
        <v>22</v>
      </c>
      <c r="D190" s="36" t="s">
        <v>24</v>
      </c>
      <c r="E190" s="36">
        <v>30.625619899999901</v>
      </c>
      <c r="F190" s="20">
        <v>60000</v>
      </c>
      <c r="G190" s="20">
        <v>10000</v>
      </c>
      <c r="H190" s="36">
        <v>38.238086399999702</v>
      </c>
      <c r="I190" s="20">
        <v>9839</v>
      </c>
      <c r="J190" s="20">
        <v>161</v>
      </c>
      <c r="K190" s="36">
        <v>0.9839</v>
      </c>
      <c r="L190" s="36">
        <v>0.98380160236587599</v>
      </c>
      <c r="M190" s="36">
        <v>0.98380861420975796</v>
      </c>
      <c r="N190" s="36">
        <v>0.98379787200440205</v>
      </c>
      <c r="O190" s="36">
        <v>0.5</v>
      </c>
      <c r="P190" s="20">
        <v>7</v>
      </c>
      <c r="Q190" s="20">
        <v>99999999</v>
      </c>
      <c r="R190" s="24">
        <v>43</v>
      </c>
    </row>
    <row r="191" spans="1:18" x14ac:dyDescent="0.3">
      <c r="A191" s="19">
        <v>3</v>
      </c>
      <c r="B191" s="36" t="s">
        <v>49</v>
      </c>
      <c r="C191" s="36" t="s">
        <v>22</v>
      </c>
      <c r="D191" s="36" t="s">
        <v>39</v>
      </c>
      <c r="E191" s="36">
        <v>100.441312599985</v>
      </c>
      <c r="F191" s="20">
        <v>60000</v>
      </c>
      <c r="G191" s="20">
        <v>10000</v>
      </c>
      <c r="H191" s="36">
        <v>211.16076440003201</v>
      </c>
      <c r="I191" s="20">
        <v>9558</v>
      </c>
      <c r="J191" s="20">
        <v>442</v>
      </c>
      <c r="K191" s="36">
        <v>0.95579999999999998</v>
      </c>
      <c r="L191" s="36">
        <v>0.95652035069413699</v>
      </c>
      <c r="M191" s="36">
        <v>0.95547910739685105</v>
      </c>
      <c r="N191" s="36">
        <v>0.95571485228601805</v>
      </c>
      <c r="O191" s="36">
        <v>0.5</v>
      </c>
      <c r="P191" s="20">
        <v>7</v>
      </c>
      <c r="Q191" s="20">
        <v>99999999</v>
      </c>
      <c r="R191" s="24">
        <v>43</v>
      </c>
    </row>
    <row r="192" spans="1:18" x14ac:dyDescent="0.3">
      <c r="A192" s="21">
        <v>4</v>
      </c>
      <c r="B192" s="37" t="s">
        <v>49</v>
      </c>
      <c r="C192" s="37" t="s">
        <v>23</v>
      </c>
      <c r="D192" s="37" t="s">
        <v>20</v>
      </c>
      <c r="E192" s="37">
        <v>166.91084169999999</v>
      </c>
      <c r="F192" s="22">
        <v>60000</v>
      </c>
      <c r="G192" s="22">
        <v>10000</v>
      </c>
      <c r="H192" s="37">
        <v>253.91446719999999</v>
      </c>
      <c r="I192" s="22">
        <v>9688</v>
      </c>
      <c r="J192" s="22">
        <v>312</v>
      </c>
      <c r="K192" s="37">
        <v>0.96879999999999999</v>
      </c>
      <c r="L192" s="37">
        <v>0.96870763538883997</v>
      </c>
      <c r="M192" s="37">
        <v>0.968602900513859</v>
      </c>
      <c r="N192" s="37">
        <v>0.96863557173943104</v>
      </c>
      <c r="O192" s="37">
        <v>0.5</v>
      </c>
      <c r="P192" s="22">
        <v>7</v>
      </c>
      <c r="Q192" s="22">
        <v>99999999</v>
      </c>
      <c r="R192" s="23">
        <v>784</v>
      </c>
    </row>
    <row r="193" spans="1:18" x14ac:dyDescent="0.3">
      <c r="A193" s="21">
        <v>20</v>
      </c>
      <c r="B193" s="37" t="s">
        <v>49</v>
      </c>
      <c r="C193" s="37" t="s">
        <v>23</v>
      </c>
      <c r="D193" s="37" t="s">
        <v>26</v>
      </c>
      <c r="E193" s="37">
        <v>18.9418691999999</v>
      </c>
      <c r="F193" s="22">
        <v>60000</v>
      </c>
      <c r="G193" s="22">
        <v>10000</v>
      </c>
      <c r="H193" s="37">
        <v>43.701534400000099</v>
      </c>
      <c r="I193" s="22">
        <v>9540</v>
      </c>
      <c r="J193" s="22">
        <v>460</v>
      </c>
      <c r="K193" s="37">
        <v>0.95399999999999996</v>
      </c>
      <c r="L193" s="37">
        <v>0.95396062522272895</v>
      </c>
      <c r="M193" s="37">
        <v>0.95320424818264504</v>
      </c>
      <c r="N193" s="37">
        <v>0.95345306231791405</v>
      </c>
      <c r="O193" s="37">
        <v>0.228580506497157</v>
      </c>
      <c r="P193" s="22">
        <v>7</v>
      </c>
      <c r="Q193" s="22">
        <v>99999999</v>
      </c>
      <c r="R193" s="23">
        <v>43</v>
      </c>
    </row>
    <row r="194" spans="1:18" x14ac:dyDescent="0.3">
      <c r="A194" s="21">
        <v>12</v>
      </c>
      <c r="B194" s="37" t="s">
        <v>49</v>
      </c>
      <c r="C194" s="37" t="s">
        <v>23</v>
      </c>
      <c r="D194" s="37" t="s">
        <v>25</v>
      </c>
      <c r="E194" s="37">
        <v>10.9332796000007</v>
      </c>
      <c r="F194" s="22">
        <v>60000</v>
      </c>
      <c r="G194" s="22">
        <v>10000</v>
      </c>
      <c r="H194" s="37">
        <v>30.901594100000601</v>
      </c>
      <c r="I194" s="22">
        <v>9212</v>
      </c>
      <c r="J194" s="22">
        <v>788</v>
      </c>
      <c r="K194" s="37">
        <v>0.92120000000000002</v>
      </c>
      <c r="L194" s="37">
        <v>0.92030455520216103</v>
      </c>
      <c r="M194" s="37">
        <v>0.92020655007036001</v>
      </c>
      <c r="N194" s="37">
        <v>0.92018016372425304</v>
      </c>
      <c r="O194" s="37">
        <v>0.5</v>
      </c>
      <c r="P194" s="22">
        <v>7</v>
      </c>
      <c r="Q194" s="22">
        <v>99999999</v>
      </c>
      <c r="R194" s="23">
        <v>9</v>
      </c>
    </row>
    <row r="195" spans="1:18" x14ac:dyDescent="0.3">
      <c r="A195" s="21">
        <v>8</v>
      </c>
      <c r="B195" s="37" t="s">
        <v>49</v>
      </c>
      <c r="C195" s="37" t="s">
        <v>23</v>
      </c>
      <c r="D195" s="37" t="s">
        <v>24</v>
      </c>
      <c r="E195" s="37">
        <v>17.997339200000098</v>
      </c>
      <c r="F195" s="22">
        <v>60000</v>
      </c>
      <c r="G195" s="22">
        <v>10000</v>
      </c>
      <c r="H195" s="37">
        <v>37.694964299999803</v>
      </c>
      <c r="I195" s="22">
        <v>9824</v>
      </c>
      <c r="J195" s="22">
        <v>176</v>
      </c>
      <c r="K195" s="37">
        <v>0.98240000000000005</v>
      </c>
      <c r="L195" s="37">
        <v>0.98241147037216103</v>
      </c>
      <c r="M195" s="37">
        <v>0.98226498992200095</v>
      </c>
      <c r="N195" s="37">
        <v>0.9823294275062</v>
      </c>
      <c r="O195" s="37">
        <v>0.5</v>
      </c>
      <c r="P195" s="22">
        <v>7</v>
      </c>
      <c r="Q195" s="22">
        <v>99999999</v>
      </c>
      <c r="R195" s="23">
        <v>43</v>
      </c>
    </row>
    <row r="196" spans="1:18" x14ac:dyDescent="0.3">
      <c r="A196" s="21">
        <v>4</v>
      </c>
      <c r="B196" s="37" t="s">
        <v>49</v>
      </c>
      <c r="C196" s="37" t="s">
        <v>23</v>
      </c>
      <c r="D196" s="37" t="s">
        <v>39</v>
      </c>
      <c r="E196" s="37">
        <v>11.511764399998301</v>
      </c>
      <c r="F196" s="22">
        <v>60000</v>
      </c>
      <c r="G196" s="22">
        <v>10000</v>
      </c>
      <c r="H196" s="37">
        <v>125.56311580003199</v>
      </c>
      <c r="I196" s="22">
        <v>9558</v>
      </c>
      <c r="J196" s="22">
        <v>442</v>
      </c>
      <c r="K196" s="37">
        <v>0.95579999999999998</v>
      </c>
      <c r="L196" s="37">
        <v>0.95648374313778695</v>
      </c>
      <c r="M196" s="37">
        <v>0.95549053229792502</v>
      </c>
      <c r="N196" s="37">
        <v>0.95569592210999499</v>
      </c>
      <c r="O196" s="37">
        <v>0.5</v>
      </c>
      <c r="P196" s="22">
        <v>7</v>
      </c>
      <c r="Q196" s="22">
        <v>99999999</v>
      </c>
      <c r="R196" s="23">
        <v>43</v>
      </c>
    </row>
    <row r="197" spans="1:18" x14ac:dyDescent="0.3">
      <c r="A197" s="21">
        <v>2</v>
      </c>
      <c r="B197" s="37" t="s">
        <v>49</v>
      </c>
      <c r="C197" s="37" t="s">
        <v>21</v>
      </c>
      <c r="D197" s="37" t="s">
        <v>20</v>
      </c>
      <c r="E197" s="37">
        <v>16.224126799999699</v>
      </c>
      <c r="F197" s="22">
        <v>60000</v>
      </c>
      <c r="G197" s="22">
        <v>10000</v>
      </c>
      <c r="H197" s="37">
        <v>27.6860878000006</v>
      </c>
      <c r="I197" s="22">
        <v>9607</v>
      </c>
      <c r="J197" s="22">
        <v>393</v>
      </c>
      <c r="K197" s="37">
        <v>0.9607</v>
      </c>
      <c r="L197" s="37">
        <v>0.96061915052698799</v>
      </c>
      <c r="M197" s="37">
        <v>0.96038803773675696</v>
      </c>
      <c r="N197" s="37">
        <v>0.96048246801412795</v>
      </c>
      <c r="O197" s="37">
        <v>0.5</v>
      </c>
      <c r="P197" s="22">
        <v>7</v>
      </c>
      <c r="Q197" s="22">
        <v>99999999</v>
      </c>
      <c r="R197" s="23">
        <v>784</v>
      </c>
    </row>
    <row r="198" spans="1:18" x14ac:dyDescent="0.3">
      <c r="A198" s="21">
        <v>18</v>
      </c>
      <c r="B198" s="37" t="s">
        <v>49</v>
      </c>
      <c r="C198" s="37" t="s">
        <v>21</v>
      </c>
      <c r="D198" s="37" t="s">
        <v>26</v>
      </c>
      <c r="E198" s="37">
        <v>2.56414450000011</v>
      </c>
      <c r="F198" s="22">
        <v>60000</v>
      </c>
      <c r="G198" s="22">
        <v>10000</v>
      </c>
      <c r="H198" s="37">
        <v>13.0150591999999</v>
      </c>
      <c r="I198" s="22">
        <v>9611</v>
      </c>
      <c r="J198" s="22">
        <v>389</v>
      </c>
      <c r="K198" s="37">
        <v>0.96109999999999995</v>
      </c>
      <c r="L198" s="37">
        <v>0.96111787989174002</v>
      </c>
      <c r="M198" s="37">
        <v>0.96061755566600204</v>
      </c>
      <c r="N198" s="37">
        <v>0.96080273217442702</v>
      </c>
      <c r="O198" s="37">
        <v>0.228580506497157</v>
      </c>
      <c r="P198" s="22">
        <v>7</v>
      </c>
      <c r="Q198" s="22">
        <v>99999999</v>
      </c>
      <c r="R198" s="23">
        <v>43</v>
      </c>
    </row>
    <row r="199" spans="1:18" x14ac:dyDescent="0.3">
      <c r="A199" s="21">
        <v>10</v>
      </c>
      <c r="B199" s="37" t="s">
        <v>49</v>
      </c>
      <c r="C199" s="37" t="s">
        <v>21</v>
      </c>
      <c r="D199" s="37" t="s">
        <v>25</v>
      </c>
      <c r="E199" s="37">
        <v>2.2171244000000998</v>
      </c>
      <c r="F199" s="22">
        <v>60000</v>
      </c>
      <c r="G199" s="22">
        <v>10000</v>
      </c>
      <c r="H199" s="37">
        <v>11.7333877</v>
      </c>
      <c r="I199" s="22">
        <v>9146</v>
      </c>
      <c r="J199" s="22">
        <v>854</v>
      </c>
      <c r="K199" s="37">
        <v>0.91459999999999997</v>
      </c>
      <c r="L199" s="37">
        <v>0.91365935848115298</v>
      </c>
      <c r="M199" s="37">
        <v>0.91352360185597103</v>
      </c>
      <c r="N199" s="37">
        <v>0.91352105293084096</v>
      </c>
      <c r="O199" s="37">
        <v>0.5</v>
      </c>
      <c r="P199" s="22">
        <v>7</v>
      </c>
      <c r="Q199" s="22">
        <v>99999999</v>
      </c>
      <c r="R199" s="23">
        <v>9</v>
      </c>
    </row>
    <row r="200" spans="1:18" x14ac:dyDescent="0.3">
      <c r="A200" s="21">
        <v>6</v>
      </c>
      <c r="B200" s="37" t="s">
        <v>49</v>
      </c>
      <c r="C200" s="37" t="s">
        <v>21</v>
      </c>
      <c r="D200" s="37" t="s">
        <v>24</v>
      </c>
      <c r="E200" s="37">
        <v>5.2396998000003796</v>
      </c>
      <c r="F200" s="22">
        <v>60000</v>
      </c>
      <c r="G200" s="22">
        <v>10000</v>
      </c>
      <c r="H200" s="37">
        <v>12.958575300000099</v>
      </c>
      <c r="I200" s="22">
        <v>9562</v>
      </c>
      <c r="J200" s="22">
        <v>438</v>
      </c>
      <c r="K200" s="37">
        <v>0.95620000000000005</v>
      </c>
      <c r="L200" s="37">
        <v>0.95559363535844499</v>
      </c>
      <c r="M200" s="37">
        <v>0.95582390034154696</v>
      </c>
      <c r="N200" s="37">
        <v>0.95568653826637495</v>
      </c>
      <c r="O200" s="37">
        <v>0.5</v>
      </c>
      <c r="P200" s="22">
        <v>7</v>
      </c>
      <c r="Q200" s="22">
        <v>99999999</v>
      </c>
      <c r="R200" s="23">
        <v>43</v>
      </c>
    </row>
    <row r="201" spans="1:18" x14ac:dyDescent="0.3">
      <c r="A201" s="21">
        <v>2</v>
      </c>
      <c r="B201" s="37" t="s">
        <v>49</v>
      </c>
      <c r="C201" s="37" t="s">
        <v>21</v>
      </c>
      <c r="D201" s="37" t="s">
        <v>39</v>
      </c>
      <c r="E201" s="37">
        <v>5.9475174000253901</v>
      </c>
      <c r="F201" s="22">
        <v>60000</v>
      </c>
      <c r="G201" s="22">
        <v>10000</v>
      </c>
      <c r="H201" s="37">
        <v>117.356103600002</v>
      </c>
      <c r="I201" s="22">
        <v>9576</v>
      </c>
      <c r="J201" s="22">
        <v>424</v>
      </c>
      <c r="K201" s="37">
        <v>0.95760000000000001</v>
      </c>
      <c r="L201" s="37">
        <v>0.95820199642220605</v>
      </c>
      <c r="M201" s="37">
        <v>0.95736840725022898</v>
      </c>
      <c r="N201" s="37">
        <v>0.95755431718802897</v>
      </c>
      <c r="O201" s="37">
        <v>0.5</v>
      </c>
      <c r="P201" s="22">
        <v>7</v>
      </c>
      <c r="Q201" s="22">
        <v>99999999</v>
      </c>
      <c r="R201" s="23">
        <v>43</v>
      </c>
    </row>
    <row r="202" spans="1:18" x14ac:dyDescent="0.3">
      <c r="A202" s="19">
        <v>21</v>
      </c>
      <c r="B202" s="36" t="s">
        <v>50</v>
      </c>
      <c r="C202" s="36" t="s">
        <v>19</v>
      </c>
      <c r="D202" s="36" t="s">
        <v>20</v>
      </c>
      <c r="E202" s="36">
        <v>3.8208899999517598E-2</v>
      </c>
      <c r="F202" s="20">
        <v>60000</v>
      </c>
      <c r="G202" s="20">
        <v>10000</v>
      </c>
      <c r="H202" s="36">
        <v>14.6970885</v>
      </c>
      <c r="I202" s="20">
        <v>9497</v>
      </c>
      <c r="J202" s="20">
        <v>503</v>
      </c>
      <c r="K202" s="36">
        <v>0.94969999999999999</v>
      </c>
      <c r="L202" s="36">
        <v>0.95202822537760601</v>
      </c>
      <c r="M202" s="36">
        <v>0.94920172891699495</v>
      </c>
      <c r="N202" s="36">
        <v>0.94984567617093996</v>
      </c>
      <c r="O202" s="36">
        <v>0.5</v>
      </c>
      <c r="P202" s="20">
        <v>7</v>
      </c>
      <c r="Q202" s="20">
        <v>99999999</v>
      </c>
      <c r="R202" s="24">
        <v>784</v>
      </c>
    </row>
    <row r="203" spans="1:18" x14ac:dyDescent="0.3">
      <c r="A203" s="19">
        <v>37</v>
      </c>
      <c r="B203" s="36" t="s">
        <v>50</v>
      </c>
      <c r="C203" s="36" t="s">
        <v>19</v>
      </c>
      <c r="D203" s="36" t="s">
        <v>26</v>
      </c>
      <c r="E203" s="36">
        <v>5.9574999995675101E-3</v>
      </c>
      <c r="F203" s="20">
        <v>60000</v>
      </c>
      <c r="G203" s="20">
        <v>10000</v>
      </c>
      <c r="H203" s="36">
        <v>11.299059100000701</v>
      </c>
      <c r="I203" s="20">
        <v>9489</v>
      </c>
      <c r="J203" s="20">
        <v>511</v>
      </c>
      <c r="K203" s="36">
        <v>0.94889999999999997</v>
      </c>
      <c r="L203" s="36">
        <v>0.948785187425643</v>
      </c>
      <c r="M203" s="36">
        <v>0.94785764581714005</v>
      </c>
      <c r="N203" s="36">
        <v>0.948145519864669</v>
      </c>
      <c r="O203" s="36">
        <v>0.228580506497157</v>
      </c>
      <c r="P203" s="20">
        <v>7</v>
      </c>
      <c r="Q203" s="20">
        <v>99999999</v>
      </c>
      <c r="R203" s="24">
        <v>43</v>
      </c>
    </row>
    <row r="204" spans="1:18" x14ac:dyDescent="0.3">
      <c r="A204" s="19">
        <v>29</v>
      </c>
      <c r="B204" s="36" t="s">
        <v>50</v>
      </c>
      <c r="C204" s="36" t="s">
        <v>19</v>
      </c>
      <c r="D204" s="36" t="s">
        <v>25</v>
      </c>
      <c r="E204" s="36">
        <v>0.116048799999589</v>
      </c>
      <c r="F204" s="20">
        <v>60000</v>
      </c>
      <c r="G204" s="20">
        <v>10000</v>
      </c>
      <c r="H204" s="36">
        <v>11.0354110999996</v>
      </c>
      <c r="I204" s="20">
        <v>8948</v>
      </c>
      <c r="J204" s="20">
        <v>1052</v>
      </c>
      <c r="K204" s="36">
        <v>0.89480000000000004</v>
      </c>
      <c r="L204" s="36">
        <v>0.89356163347442297</v>
      </c>
      <c r="M204" s="36">
        <v>0.89300796468997101</v>
      </c>
      <c r="N204" s="36">
        <v>0.89283403148307305</v>
      </c>
      <c r="O204" s="36">
        <v>0.5</v>
      </c>
      <c r="P204" s="20">
        <v>7</v>
      </c>
      <c r="Q204" s="20">
        <v>99999999</v>
      </c>
      <c r="R204" s="24">
        <v>9</v>
      </c>
    </row>
    <row r="205" spans="1:18" x14ac:dyDescent="0.3">
      <c r="A205" s="19">
        <v>25</v>
      </c>
      <c r="B205" s="36" t="s">
        <v>50</v>
      </c>
      <c r="C205" s="36" t="s">
        <v>19</v>
      </c>
      <c r="D205" s="36" t="s">
        <v>24</v>
      </c>
      <c r="E205" s="36">
        <v>5.2132000000710797E-3</v>
      </c>
      <c r="F205" s="20">
        <v>60000</v>
      </c>
      <c r="G205" s="20">
        <v>10000</v>
      </c>
      <c r="H205" s="36">
        <v>8.0834629999999308</v>
      </c>
      <c r="I205" s="20">
        <v>9718</v>
      </c>
      <c r="J205" s="20">
        <v>282</v>
      </c>
      <c r="K205" s="36">
        <v>0.9718</v>
      </c>
      <c r="L205" s="36">
        <v>0.97199729730575102</v>
      </c>
      <c r="M205" s="36">
        <v>0.97156982642042</v>
      </c>
      <c r="N205" s="36">
        <v>0.97173165324072597</v>
      </c>
      <c r="O205" s="36">
        <v>0.5</v>
      </c>
      <c r="P205" s="20">
        <v>7</v>
      </c>
      <c r="Q205" s="20">
        <v>99999999</v>
      </c>
      <c r="R205" s="24">
        <v>43</v>
      </c>
    </row>
    <row r="206" spans="1:18" x14ac:dyDescent="0.3">
      <c r="A206" s="19">
        <v>5</v>
      </c>
      <c r="B206" s="36" t="s">
        <v>50</v>
      </c>
      <c r="C206" s="36" t="s">
        <v>19</v>
      </c>
      <c r="D206" s="36" t="s">
        <v>39</v>
      </c>
      <c r="E206" s="36">
        <v>4.2850000318139696E-3</v>
      </c>
      <c r="F206" s="20">
        <v>60000</v>
      </c>
      <c r="G206" s="20">
        <v>10000</v>
      </c>
      <c r="H206" s="36">
        <v>116.96124969999001</v>
      </c>
      <c r="I206" s="20">
        <v>9536</v>
      </c>
      <c r="J206" s="20">
        <v>464</v>
      </c>
      <c r="K206" s="36">
        <v>0.9536</v>
      </c>
      <c r="L206" s="36">
        <v>0.95450660233937401</v>
      </c>
      <c r="M206" s="36">
        <v>0.95325841873601203</v>
      </c>
      <c r="N206" s="36">
        <v>0.95352695857147496</v>
      </c>
      <c r="O206" s="36">
        <v>0.5</v>
      </c>
      <c r="P206" s="20">
        <v>7</v>
      </c>
      <c r="Q206" s="20">
        <v>99999999</v>
      </c>
      <c r="R206" s="24">
        <v>43</v>
      </c>
    </row>
    <row r="207" spans="1:18" x14ac:dyDescent="0.3">
      <c r="A207" s="19">
        <v>23</v>
      </c>
      <c r="B207" s="36" t="s">
        <v>50</v>
      </c>
      <c r="C207" s="36" t="s">
        <v>22</v>
      </c>
      <c r="D207" s="36" t="s">
        <v>20</v>
      </c>
      <c r="E207" s="36">
        <v>45.422201499999503</v>
      </c>
      <c r="F207" s="20">
        <v>60000</v>
      </c>
      <c r="G207" s="20">
        <v>10000</v>
      </c>
      <c r="H207" s="36">
        <v>56.701111099999203</v>
      </c>
      <c r="I207" s="20">
        <v>9745</v>
      </c>
      <c r="J207" s="20">
        <v>255</v>
      </c>
      <c r="K207" s="36">
        <v>0.97450000000000003</v>
      </c>
      <c r="L207" s="36">
        <v>0.97434538362761602</v>
      </c>
      <c r="M207" s="36">
        <v>0.97423827001345498</v>
      </c>
      <c r="N207" s="36">
        <v>0.97426626184476695</v>
      </c>
      <c r="O207" s="36">
        <v>0.5</v>
      </c>
      <c r="P207" s="20">
        <v>7</v>
      </c>
      <c r="Q207" s="20">
        <v>99999999</v>
      </c>
      <c r="R207" s="24">
        <v>784</v>
      </c>
    </row>
    <row r="208" spans="1:18" x14ac:dyDescent="0.3">
      <c r="A208" s="19">
        <v>39</v>
      </c>
      <c r="B208" s="36" t="s">
        <v>50</v>
      </c>
      <c r="C208" s="36" t="s">
        <v>22</v>
      </c>
      <c r="D208" s="36" t="s">
        <v>26</v>
      </c>
      <c r="E208" s="36">
        <v>548.52630529999897</v>
      </c>
      <c r="F208" s="20">
        <v>60000</v>
      </c>
      <c r="G208" s="20">
        <v>10000</v>
      </c>
      <c r="H208" s="36">
        <v>559.33735619999902</v>
      </c>
      <c r="I208" s="20">
        <v>9703</v>
      </c>
      <c r="J208" s="20">
        <v>297</v>
      </c>
      <c r="K208" s="36">
        <v>0.97030000000000005</v>
      </c>
      <c r="L208" s="36">
        <v>0.97012371591801305</v>
      </c>
      <c r="M208" s="36">
        <v>0.97011674605629195</v>
      </c>
      <c r="N208" s="36">
        <v>0.97007836615693299</v>
      </c>
      <c r="O208" s="36">
        <v>0.228580506497157</v>
      </c>
      <c r="P208" s="20">
        <v>7</v>
      </c>
      <c r="Q208" s="20">
        <v>99999999</v>
      </c>
      <c r="R208" s="24">
        <v>43</v>
      </c>
    </row>
    <row r="209" spans="1:18" x14ac:dyDescent="0.3">
      <c r="A209" s="19">
        <v>31</v>
      </c>
      <c r="B209" s="36" t="s">
        <v>50</v>
      </c>
      <c r="C209" s="36" t="s">
        <v>22</v>
      </c>
      <c r="D209" s="36" t="s">
        <v>25</v>
      </c>
      <c r="E209" s="36">
        <v>252.91891720000001</v>
      </c>
      <c r="F209" s="20">
        <v>60000</v>
      </c>
      <c r="G209" s="20">
        <v>10000</v>
      </c>
      <c r="H209" s="36">
        <v>263.14881259999999</v>
      </c>
      <c r="I209" s="20">
        <v>8863</v>
      </c>
      <c r="J209" s="20">
        <v>1137</v>
      </c>
      <c r="K209" s="36">
        <v>0.88629999999999998</v>
      </c>
      <c r="L209" s="36">
        <v>0.88493688252638003</v>
      </c>
      <c r="M209" s="36">
        <v>0.88489147893877196</v>
      </c>
      <c r="N209" s="36">
        <v>0.88477185489952404</v>
      </c>
      <c r="O209" s="36">
        <v>0.5</v>
      </c>
      <c r="P209" s="20">
        <v>7</v>
      </c>
      <c r="Q209" s="20">
        <v>99999999</v>
      </c>
      <c r="R209" s="24">
        <v>9</v>
      </c>
    </row>
    <row r="210" spans="1:18" x14ac:dyDescent="0.3">
      <c r="A210" s="19">
        <v>27</v>
      </c>
      <c r="B210" s="36" t="s">
        <v>50</v>
      </c>
      <c r="C210" s="36" t="s">
        <v>22</v>
      </c>
      <c r="D210" s="36" t="s">
        <v>24</v>
      </c>
      <c r="E210" s="36">
        <v>36.076821399999901</v>
      </c>
      <c r="F210" s="20">
        <v>60000</v>
      </c>
      <c r="G210" s="20">
        <v>10000</v>
      </c>
      <c r="H210" s="36">
        <v>43.671429500000102</v>
      </c>
      <c r="I210" s="20">
        <v>9772</v>
      </c>
      <c r="J210" s="20">
        <v>228</v>
      </c>
      <c r="K210" s="36">
        <v>0.97719999999999996</v>
      </c>
      <c r="L210" s="36">
        <v>0.97708626542041999</v>
      </c>
      <c r="M210" s="36">
        <v>0.97707496163437801</v>
      </c>
      <c r="N210" s="36">
        <v>0.97707287364658302</v>
      </c>
      <c r="O210" s="36">
        <v>0.5</v>
      </c>
      <c r="P210" s="20">
        <v>7</v>
      </c>
      <c r="Q210" s="20">
        <v>99999999</v>
      </c>
      <c r="R210" s="24">
        <v>43</v>
      </c>
    </row>
    <row r="211" spans="1:18" x14ac:dyDescent="0.3">
      <c r="A211" s="19">
        <v>7</v>
      </c>
      <c r="B211" s="36" t="s">
        <v>50</v>
      </c>
      <c r="C211" s="36" t="s">
        <v>22</v>
      </c>
      <c r="D211" s="36" t="s">
        <v>39</v>
      </c>
      <c r="E211" s="36">
        <v>158.20105239999199</v>
      </c>
      <c r="F211" s="20">
        <v>60000</v>
      </c>
      <c r="G211" s="20">
        <v>10000</v>
      </c>
      <c r="H211" s="36">
        <v>274.73051739996299</v>
      </c>
      <c r="I211" s="20">
        <v>9516</v>
      </c>
      <c r="J211" s="20">
        <v>484</v>
      </c>
      <c r="K211" s="36">
        <v>0.9516</v>
      </c>
      <c r="L211" s="36">
        <v>0.95280605057081003</v>
      </c>
      <c r="M211" s="36">
        <v>0.95115889340522497</v>
      </c>
      <c r="N211" s="36">
        <v>0.95154649628745602</v>
      </c>
      <c r="O211" s="36">
        <v>0.5</v>
      </c>
      <c r="P211" s="20">
        <v>7</v>
      </c>
      <c r="Q211" s="20">
        <v>99999999</v>
      </c>
      <c r="R211" s="24">
        <v>43</v>
      </c>
    </row>
    <row r="212" spans="1:18" x14ac:dyDescent="0.3">
      <c r="A212" s="21">
        <v>24</v>
      </c>
      <c r="B212" s="37" t="s">
        <v>50</v>
      </c>
      <c r="C212" s="37" t="s">
        <v>23</v>
      </c>
      <c r="D212" s="37" t="s">
        <v>20</v>
      </c>
      <c r="E212" s="37">
        <v>212.77406499999901</v>
      </c>
      <c r="F212" s="22">
        <v>60000</v>
      </c>
      <c r="G212" s="22">
        <v>10000</v>
      </c>
      <c r="H212" s="37">
        <v>314.782802599999</v>
      </c>
      <c r="I212" s="22">
        <v>9707</v>
      </c>
      <c r="J212" s="22">
        <v>293</v>
      </c>
      <c r="K212" s="37">
        <v>0.97070000000000001</v>
      </c>
      <c r="L212" s="37">
        <v>0.97048450180512502</v>
      </c>
      <c r="M212" s="37">
        <v>0.970424976388368</v>
      </c>
      <c r="N212" s="37">
        <v>0.97044091688188705</v>
      </c>
      <c r="O212" s="37">
        <v>0.5</v>
      </c>
      <c r="P212" s="22">
        <v>7</v>
      </c>
      <c r="Q212" s="22">
        <v>99999999</v>
      </c>
      <c r="R212" s="23">
        <v>784</v>
      </c>
    </row>
    <row r="213" spans="1:18" x14ac:dyDescent="0.3">
      <c r="A213" s="21">
        <v>40</v>
      </c>
      <c r="B213" s="37" t="s">
        <v>50</v>
      </c>
      <c r="C213" s="37" t="s">
        <v>23</v>
      </c>
      <c r="D213" s="37" t="s">
        <v>26</v>
      </c>
      <c r="E213" s="37">
        <v>19.4247843000011</v>
      </c>
      <c r="F213" s="22">
        <v>60000</v>
      </c>
      <c r="G213" s="22">
        <v>10000</v>
      </c>
      <c r="H213" s="37">
        <v>44.547860200000201</v>
      </c>
      <c r="I213" s="22">
        <v>9575</v>
      </c>
      <c r="J213" s="22">
        <v>425</v>
      </c>
      <c r="K213" s="37">
        <v>0.95750000000000002</v>
      </c>
      <c r="L213" s="37">
        <v>0.95730293956513601</v>
      </c>
      <c r="M213" s="37">
        <v>0.95688983681712703</v>
      </c>
      <c r="N213" s="37">
        <v>0.95700711100732505</v>
      </c>
      <c r="O213" s="37">
        <v>0.228580506497157</v>
      </c>
      <c r="P213" s="22">
        <v>7</v>
      </c>
      <c r="Q213" s="22">
        <v>99999999</v>
      </c>
      <c r="R213" s="23">
        <v>43</v>
      </c>
    </row>
    <row r="214" spans="1:18" x14ac:dyDescent="0.3">
      <c r="A214" s="21">
        <v>32</v>
      </c>
      <c r="B214" s="37" t="s">
        <v>50</v>
      </c>
      <c r="C214" s="37" t="s">
        <v>23</v>
      </c>
      <c r="D214" s="37" t="s">
        <v>25</v>
      </c>
      <c r="E214" s="37">
        <v>13.2508698999999</v>
      </c>
      <c r="F214" s="22">
        <v>60000</v>
      </c>
      <c r="G214" s="22">
        <v>10000</v>
      </c>
      <c r="H214" s="37">
        <v>38.684463500000597</v>
      </c>
      <c r="I214" s="22">
        <v>9010</v>
      </c>
      <c r="J214" s="22">
        <v>990</v>
      </c>
      <c r="K214" s="37">
        <v>0.90100000000000002</v>
      </c>
      <c r="L214" s="37">
        <v>0.89970058309498602</v>
      </c>
      <c r="M214" s="37">
        <v>0.89964445515796798</v>
      </c>
      <c r="N214" s="37">
        <v>0.89954327865418104</v>
      </c>
      <c r="O214" s="37">
        <v>0.5</v>
      </c>
      <c r="P214" s="22">
        <v>7</v>
      </c>
      <c r="Q214" s="22">
        <v>99999999</v>
      </c>
      <c r="R214" s="23">
        <v>9</v>
      </c>
    </row>
    <row r="215" spans="1:18" x14ac:dyDescent="0.3">
      <c r="A215" s="21">
        <v>28</v>
      </c>
      <c r="B215" s="37" t="s">
        <v>50</v>
      </c>
      <c r="C215" s="37" t="s">
        <v>23</v>
      </c>
      <c r="D215" s="37" t="s">
        <v>24</v>
      </c>
      <c r="E215" s="37">
        <v>21.519613199999998</v>
      </c>
      <c r="F215" s="22">
        <v>60000</v>
      </c>
      <c r="G215" s="22">
        <v>10000</v>
      </c>
      <c r="H215" s="37">
        <v>43.925683599999502</v>
      </c>
      <c r="I215" s="22">
        <v>9778</v>
      </c>
      <c r="J215" s="22">
        <v>222</v>
      </c>
      <c r="K215" s="37">
        <v>0.9778</v>
      </c>
      <c r="L215" s="37">
        <v>0.97778090293512199</v>
      </c>
      <c r="M215" s="37">
        <v>0.97770929971129705</v>
      </c>
      <c r="N215" s="37">
        <v>0.97772564443015197</v>
      </c>
      <c r="O215" s="37">
        <v>0.5</v>
      </c>
      <c r="P215" s="22">
        <v>7</v>
      </c>
      <c r="Q215" s="22">
        <v>99999999</v>
      </c>
      <c r="R215" s="23">
        <v>43</v>
      </c>
    </row>
    <row r="216" spans="1:18" x14ac:dyDescent="0.3">
      <c r="A216" s="21">
        <v>8</v>
      </c>
      <c r="B216" s="37" t="s">
        <v>50</v>
      </c>
      <c r="C216" s="37" t="s">
        <v>23</v>
      </c>
      <c r="D216" s="37" t="s">
        <v>39</v>
      </c>
      <c r="E216" s="37">
        <v>14.5936810999992</v>
      </c>
      <c r="F216" s="22">
        <v>60000</v>
      </c>
      <c r="G216" s="22">
        <v>10000</v>
      </c>
      <c r="H216" s="37">
        <v>136.10918009997101</v>
      </c>
      <c r="I216" s="22">
        <v>9517</v>
      </c>
      <c r="J216" s="22">
        <v>483</v>
      </c>
      <c r="K216" s="37">
        <v>0.95169999999999999</v>
      </c>
      <c r="L216" s="37">
        <v>0.95274922803946005</v>
      </c>
      <c r="M216" s="37">
        <v>0.95130852523512799</v>
      </c>
      <c r="N216" s="37">
        <v>0.95160021914234005</v>
      </c>
      <c r="O216" s="37">
        <v>0.5</v>
      </c>
      <c r="P216" s="22">
        <v>7</v>
      </c>
      <c r="Q216" s="22">
        <v>99999999</v>
      </c>
      <c r="R216" s="23">
        <v>43</v>
      </c>
    </row>
    <row r="217" spans="1:18" x14ac:dyDescent="0.3">
      <c r="A217" s="21">
        <v>22</v>
      </c>
      <c r="B217" s="37" t="s">
        <v>50</v>
      </c>
      <c r="C217" s="37" t="s">
        <v>21</v>
      </c>
      <c r="D217" s="37" t="s">
        <v>20</v>
      </c>
      <c r="E217" s="37">
        <v>17.000583799999699</v>
      </c>
      <c r="F217" s="22">
        <v>60000</v>
      </c>
      <c r="G217" s="22">
        <v>10000</v>
      </c>
      <c r="H217" s="37">
        <v>28.842713899999499</v>
      </c>
      <c r="I217" s="22">
        <v>9541</v>
      </c>
      <c r="J217" s="22">
        <v>459</v>
      </c>
      <c r="K217" s="37">
        <v>0.95409999999999995</v>
      </c>
      <c r="L217" s="37">
        <v>0.95368990731427605</v>
      </c>
      <c r="M217" s="37">
        <v>0.95377918125883598</v>
      </c>
      <c r="N217" s="37">
        <v>0.95368687082235504</v>
      </c>
      <c r="O217" s="37">
        <v>0.5</v>
      </c>
      <c r="P217" s="22">
        <v>7</v>
      </c>
      <c r="Q217" s="22">
        <v>99999999</v>
      </c>
      <c r="R217" s="23">
        <v>784</v>
      </c>
    </row>
    <row r="218" spans="1:18" x14ac:dyDescent="0.3">
      <c r="A218" s="21">
        <v>38</v>
      </c>
      <c r="B218" s="37" t="s">
        <v>50</v>
      </c>
      <c r="C218" s="37" t="s">
        <v>21</v>
      </c>
      <c r="D218" s="37" t="s">
        <v>26</v>
      </c>
      <c r="E218" s="37">
        <v>2.7776368000004301</v>
      </c>
      <c r="F218" s="22">
        <v>60000</v>
      </c>
      <c r="G218" s="22">
        <v>10000</v>
      </c>
      <c r="H218" s="37">
        <v>13.5830503999995</v>
      </c>
      <c r="I218" s="22">
        <v>9653</v>
      </c>
      <c r="J218" s="22">
        <v>347</v>
      </c>
      <c r="K218" s="37">
        <v>0.96530000000000005</v>
      </c>
      <c r="L218" s="37">
        <v>0.96488077134251604</v>
      </c>
      <c r="M218" s="37">
        <v>0.96505522374736696</v>
      </c>
      <c r="N218" s="37">
        <v>0.96493364694019801</v>
      </c>
      <c r="O218" s="37">
        <v>0.228580506497157</v>
      </c>
      <c r="P218" s="22">
        <v>7</v>
      </c>
      <c r="Q218" s="22">
        <v>99999999</v>
      </c>
      <c r="R218" s="23">
        <v>43</v>
      </c>
    </row>
    <row r="219" spans="1:18" x14ac:dyDescent="0.3">
      <c r="A219" s="21">
        <v>30</v>
      </c>
      <c r="B219" s="37" t="s">
        <v>50</v>
      </c>
      <c r="C219" s="37" t="s">
        <v>21</v>
      </c>
      <c r="D219" s="37" t="s">
        <v>25</v>
      </c>
      <c r="E219" s="37">
        <v>2.41659060000074</v>
      </c>
      <c r="F219" s="22">
        <v>60000</v>
      </c>
      <c r="G219" s="22">
        <v>10000</v>
      </c>
      <c r="H219" s="37">
        <v>12.822322399999299</v>
      </c>
      <c r="I219" s="22">
        <v>8931</v>
      </c>
      <c r="J219" s="22">
        <v>1069</v>
      </c>
      <c r="K219" s="37">
        <v>0.8931</v>
      </c>
      <c r="L219" s="37">
        <v>0.89146548987768603</v>
      </c>
      <c r="M219" s="37">
        <v>0.891545558604394</v>
      </c>
      <c r="N219" s="37">
        <v>0.89142841626479397</v>
      </c>
      <c r="O219" s="37">
        <v>0.5</v>
      </c>
      <c r="P219" s="22">
        <v>7</v>
      </c>
      <c r="Q219" s="22">
        <v>99999999</v>
      </c>
      <c r="R219" s="23">
        <v>9</v>
      </c>
    </row>
    <row r="220" spans="1:18" x14ac:dyDescent="0.3">
      <c r="A220" s="21">
        <v>26</v>
      </c>
      <c r="B220" s="37" t="s">
        <v>50</v>
      </c>
      <c r="C220" s="37" t="s">
        <v>21</v>
      </c>
      <c r="D220" s="37" t="s">
        <v>24</v>
      </c>
      <c r="E220" s="37">
        <v>5.2007912999997599</v>
      </c>
      <c r="F220" s="22">
        <v>60000</v>
      </c>
      <c r="G220" s="22">
        <v>10000</v>
      </c>
      <c r="H220" s="37">
        <v>12.7505922</v>
      </c>
      <c r="I220" s="22">
        <v>9431</v>
      </c>
      <c r="J220" s="22">
        <v>569</v>
      </c>
      <c r="K220" s="37">
        <v>0.94310000000000005</v>
      </c>
      <c r="L220" s="37">
        <v>0.94241355745484101</v>
      </c>
      <c r="M220" s="37">
        <v>0.94241520645494503</v>
      </c>
      <c r="N220" s="37">
        <v>0.94235732868001498</v>
      </c>
      <c r="O220" s="37">
        <v>0.5</v>
      </c>
      <c r="P220" s="22">
        <v>7</v>
      </c>
      <c r="Q220" s="22">
        <v>99999999</v>
      </c>
      <c r="R220" s="23">
        <v>43</v>
      </c>
    </row>
    <row r="221" spans="1:18" x14ac:dyDescent="0.3">
      <c r="A221" s="21">
        <v>6</v>
      </c>
      <c r="B221" s="37" t="s">
        <v>50</v>
      </c>
      <c r="C221" s="37" t="s">
        <v>21</v>
      </c>
      <c r="D221" s="37" t="s">
        <v>39</v>
      </c>
      <c r="E221" s="37">
        <v>5.5915076999808599</v>
      </c>
      <c r="F221" s="22">
        <v>60000</v>
      </c>
      <c r="G221" s="22">
        <v>10000</v>
      </c>
      <c r="H221" s="37">
        <v>121.652862799994</v>
      </c>
      <c r="I221" s="22">
        <v>9547</v>
      </c>
      <c r="J221" s="22">
        <v>453</v>
      </c>
      <c r="K221" s="37">
        <v>0.95469999999999999</v>
      </c>
      <c r="L221" s="37">
        <v>0.95549132461463304</v>
      </c>
      <c r="M221" s="37">
        <v>0.95436042522630105</v>
      </c>
      <c r="N221" s="37">
        <v>0.95461180092128095</v>
      </c>
      <c r="O221" s="37">
        <v>0.5</v>
      </c>
      <c r="P221" s="22">
        <v>7</v>
      </c>
      <c r="Q221" s="22">
        <v>99999999</v>
      </c>
      <c r="R221" s="23">
        <v>43</v>
      </c>
    </row>
    <row r="222" spans="1:18" x14ac:dyDescent="0.3">
      <c r="A222" s="19">
        <v>41</v>
      </c>
      <c r="B222" s="36" t="s">
        <v>51</v>
      </c>
      <c r="C222" s="36" t="s">
        <v>19</v>
      </c>
      <c r="D222" s="36" t="s">
        <v>20</v>
      </c>
      <c r="E222" s="36">
        <v>3.9072999999916598E-2</v>
      </c>
      <c r="F222" s="20">
        <v>60000</v>
      </c>
      <c r="G222" s="20">
        <v>10000</v>
      </c>
      <c r="H222" s="36">
        <v>14.315903000000599</v>
      </c>
      <c r="I222" s="20">
        <v>9040</v>
      </c>
      <c r="J222" s="20">
        <v>960</v>
      </c>
      <c r="K222" s="36">
        <v>0.90400000000000003</v>
      </c>
      <c r="L222" s="36">
        <v>0.91504413031468301</v>
      </c>
      <c r="M222" s="36">
        <v>0.90298164744814702</v>
      </c>
      <c r="N222" s="36">
        <v>0.90430455922323205</v>
      </c>
      <c r="O222" s="36">
        <v>0.5</v>
      </c>
      <c r="P222" s="20">
        <v>7</v>
      </c>
      <c r="Q222" s="20">
        <v>99999999</v>
      </c>
      <c r="R222" s="24">
        <v>784</v>
      </c>
    </row>
    <row r="223" spans="1:18" x14ac:dyDescent="0.3">
      <c r="A223" s="19">
        <v>57</v>
      </c>
      <c r="B223" s="36" t="s">
        <v>51</v>
      </c>
      <c r="C223" s="36" t="s">
        <v>19</v>
      </c>
      <c r="D223" s="36" t="s">
        <v>26</v>
      </c>
      <c r="E223" s="36">
        <v>5.2235999992262796E-3</v>
      </c>
      <c r="F223" s="20">
        <v>60000</v>
      </c>
      <c r="G223" s="20">
        <v>10000</v>
      </c>
      <c r="H223" s="36">
        <v>11.515180700000201</v>
      </c>
      <c r="I223" s="20">
        <v>9487</v>
      </c>
      <c r="J223" s="20">
        <v>513</v>
      </c>
      <c r="K223" s="36">
        <v>0.94869999999999999</v>
      </c>
      <c r="L223" s="36">
        <v>0.94865440721503502</v>
      </c>
      <c r="M223" s="36">
        <v>0.94789699460564003</v>
      </c>
      <c r="N223" s="36">
        <v>0.948094899722283</v>
      </c>
      <c r="O223" s="36">
        <v>0.228580506497157</v>
      </c>
      <c r="P223" s="20">
        <v>7</v>
      </c>
      <c r="Q223" s="20">
        <v>99999999</v>
      </c>
      <c r="R223" s="24">
        <v>43</v>
      </c>
    </row>
    <row r="224" spans="1:18" x14ac:dyDescent="0.3">
      <c r="A224" s="19">
        <v>49</v>
      </c>
      <c r="B224" s="36" t="s">
        <v>51</v>
      </c>
      <c r="C224" s="36" t="s">
        <v>19</v>
      </c>
      <c r="D224" s="36" t="s">
        <v>25</v>
      </c>
      <c r="E224" s="36">
        <v>0.115928600000188</v>
      </c>
      <c r="F224" s="20">
        <v>60000</v>
      </c>
      <c r="G224" s="20">
        <v>10000</v>
      </c>
      <c r="H224" s="36">
        <v>11.2762884999992</v>
      </c>
      <c r="I224" s="20">
        <v>9013</v>
      </c>
      <c r="J224" s="20">
        <v>987</v>
      </c>
      <c r="K224" s="36">
        <v>0.90129999999999999</v>
      </c>
      <c r="L224" s="36">
        <v>0.90001219083710005</v>
      </c>
      <c r="M224" s="36">
        <v>0.89995018913223801</v>
      </c>
      <c r="N224" s="36">
        <v>0.89971102651158696</v>
      </c>
      <c r="O224" s="36">
        <v>0.5</v>
      </c>
      <c r="P224" s="20">
        <v>7</v>
      </c>
      <c r="Q224" s="20">
        <v>99999999</v>
      </c>
      <c r="R224" s="24">
        <v>9</v>
      </c>
    </row>
    <row r="225" spans="1:18" x14ac:dyDescent="0.3">
      <c r="A225" s="19">
        <v>45</v>
      </c>
      <c r="B225" s="36" t="s">
        <v>51</v>
      </c>
      <c r="C225" s="36" t="s">
        <v>19</v>
      </c>
      <c r="D225" s="36" t="s">
        <v>24</v>
      </c>
      <c r="E225" s="36">
        <v>5.1899999998567996E-3</v>
      </c>
      <c r="F225" s="20">
        <v>60000</v>
      </c>
      <c r="G225" s="20">
        <v>10000</v>
      </c>
      <c r="H225" s="36">
        <v>8.2823637999990698</v>
      </c>
      <c r="I225" s="20">
        <v>9682</v>
      </c>
      <c r="J225" s="20">
        <v>318</v>
      </c>
      <c r="K225" s="36">
        <v>0.96819999999999995</v>
      </c>
      <c r="L225" s="36">
        <v>0.96844206702352797</v>
      </c>
      <c r="M225" s="36">
        <v>0.96797643447825599</v>
      </c>
      <c r="N225" s="36">
        <v>0.96813449728756196</v>
      </c>
      <c r="O225" s="36">
        <v>0.5</v>
      </c>
      <c r="P225" s="20">
        <v>7</v>
      </c>
      <c r="Q225" s="20">
        <v>99999999</v>
      </c>
      <c r="R225" s="24">
        <v>43</v>
      </c>
    </row>
    <row r="226" spans="1:18" x14ac:dyDescent="0.3">
      <c r="A226" s="19">
        <v>9</v>
      </c>
      <c r="B226" s="36" t="s">
        <v>51</v>
      </c>
      <c r="C226" s="36" t="s">
        <v>19</v>
      </c>
      <c r="D226" s="36" t="s">
        <v>39</v>
      </c>
      <c r="E226" s="36">
        <v>4.1590000037103796E-3</v>
      </c>
      <c r="F226" s="20">
        <v>60000</v>
      </c>
      <c r="G226" s="20">
        <v>10000</v>
      </c>
      <c r="H226" s="36">
        <v>124.86249129997999</v>
      </c>
      <c r="I226" s="20">
        <v>9313</v>
      </c>
      <c r="J226" s="20">
        <v>687</v>
      </c>
      <c r="K226" s="36">
        <v>0.93130000000000002</v>
      </c>
      <c r="L226" s="36">
        <v>0.93458140466486594</v>
      </c>
      <c r="M226" s="36">
        <v>0.93070792001865799</v>
      </c>
      <c r="N226" s="36">
        <v>0.93137711857419403</v>
      </c>
      <c r="O226" s="36">
        <v>0.5</v>
      </c>
      <c r="P226" s="20">
        <v>7</v>
      </c>
      <c r="Q226" s="20">
        <v>99999999</v>
      </c>
      <c r="R226" s="24">
        <v>43</v>
      </c>
    </row>
    <row r="227" spans="1:18" x14ac:dyDescent="0.3">
      <c r="A227" s="19">
        <v>43</v>
      </c>
      <c r="B227" s="36" t="s">
        <v>51</v>
      </c>
      <c r="C227" s="36" t="s">
        <v>22</v>
      </c>
      <c r="D227" s="36" t="s">
        <v>20</v>
      </c>
      <c r="E227" s="36">
        <v>40.706073100000097</v>
      </c>
      <c r="F227" s="20">
        <v>60000</v>
      </c>
      <c r="G227" s="20">
        <v>10000</v>
      </c>
      <c r="H227" s="36">
        <v>51.918452699999698</v>
      </c>
      <c r="I227" s="20">
        <v>9648</v>
      </c>
      <c r="J227" s="20">
        <v>352</v>
      </c>
      <c r="K227" s="36">
        <v>0.96479999999999999</v>
      </c>
      <c r="L227" s="36">
        <v>0.96440869783001903</v>
      </c>
      <c r="M227" s="36">
        <v>0.96442462502891302</v>
      </c>
      <c r="N227" s="36">
        <v>0.96439747808801801</v>
      </c>
      <c r="O227" s="36">
        <v>0.5</v>
      </c>
      <c r="P227" s="20">
        <v>7</v>
      </c>
      <c r="Q227" s="20">
        <v>99999999</v>
      </c>
      <c r="R227" s="24">
        <v>784</v>
      </c>
    </row>
    <row r="228" spans="1:18" x14ac:dyDescent="0.3">
      <c r="A228" s="19">
        <v>59</v>
      </c>
      <c r="B228" s="36" t="s">
        <v>51</v>
      </c>
      <c r="C228" s="36" t="s">
        <v>22</v>
      </c>
      <c r="D228" s="36" t="s">
        <v>26</v>
      </c>
      <c r="E228" s="36">
        <v>582.79286979999904</v>
      </c>
      <c r="F228" s="20">
        <v>60000</v>
      </c>
      <c r="G228" s="20">
        <v>10000</v>
      </c>
      <c r="H228" s="36">
        <v>593.80790339999805</v>
      </c>
      <c r="I228" s="20">
        <v>9668</v>
      </c>
      <c r="J228" s="20">
        <v>332</v>
      </c>
      <c r="K228" s="36">
        <v>0.96679999999999999</v>
      </c>
      <c r="L228" s="36">
        <v>0.96642380191944699</v>
      </c>
      <c r="M228" s="36">
        <v>0.96653010594521405</v>
      </c>
      <c r="N228" s="36">
        <v>0.96644085030594895</v>
      </c>
      <c r="O228" s="36">
        <v>0.228580506497157</v>
      </c>
      <c r="P228" s="20">
        <v>7</v>
      </c>
      <c r="Q228" s="20">
        <v>99999999</v>
      </c>
      <c r="R228" s="24">
        <v>43</v>
      </c>
    </row>
    <row r="229" spans="1:18" x14ac:dyDescent="0.3">
      <c r="A229" s="19">
        <v>51</v>
      </c>
      <c r="B229" s="36" t="s">
        <v>51</v>
      </c>
      <c r="C229" s="36" t="s">
        <v>22</v>
      </c>
      <c r="D229" s="36" t="s">
        <v>25</v>
      </c>
      <c r="E229" s="36">
        <v>235.686757999999</v>
      </c>
      <c r="F229" s="20">
        <v>60000</v>
      </c>
      <c r="G229" s="20">
        <v>10000</v>
      </c>
      <c r="H229" s="36">
        <v>245.70375700000099</v>
      </c>
      <c r="I229" s="20">
        <v>8875</v>
      </c>
      <c r="J229" s="20">
        <v>1125</v>
      </c>
      <c r="K229" s="36">
        <v>0.88749999999999996</v>
      </c>
      <c r="L229" s="36">
        <v>0.88689802854816702</v>
      </c>
      <c r="M229" s="36">
        <v>0.88573641266468495</v>
      </c>
      <c r="N229" s="36">
        <v>0.88564489026525905</v>
      </c>
      <c r="O229" s="36">
        <v>0.5</v>
      </c>
      <c r="P229" s="20">
        <v>7</v>
      </c>
      <c r="Q229" s="20">
        <v>99999999</v>
      </c>
      <c r="R229" s="24">
        <v>9</v>
      </c>
    </row>
    <row r="230" spans="1:18" x14ac:dyDescent="0.3">
      <c r="A230" s="19">
        <v>47</v>
      </c>
      <c r="B230" s="36" t="s">
        <v>51</v>
      </c>
      <c r="C230" s="36" t="s">
        <v>22</v>
      </c>
      <c r="D230" s="36" t="s">
        <v>24</v>
      </c>
      <c r="E230" s="36">
        <v>32.456582999999199</v>
      </c>
      <c r="F230" s="20">
        <v>60000</v>
      </c>
      <c r="G230" s="20">
        <v>10000</v>
      </c>
      <c r="H230" s="36">
        <v>39.995631200001299</v>
      </c>
      <c r="I230" s="20">
        <v>9750</v>
      </c>
      <c r="J230" s="20">
        <v>250</v>
      </c>
      <c r="K230" s="36">
        <v>0.97499999999999998</v>
      </c>
      <c r="L230" s="36">
        <v>0.97478155031770497</v>
      </c>
      <c r="M230" s="36">
        <v>0.97489591012668197</v>
      </c>
      <c r="N230" s="36">
        <v>0.97482120463497801</v>
      </c>
      <c r="O230" s="36">
        <v>0.5</v>
      </c>
      <c r="P230" s="20">
        <v>7</v>
      </c>
      <c r="Q230" s="20">
        <v>99999999</v>
      </c>
      <c r="R230" s="24">
        <v>43</v>
      </c>
    </row>
    <row r="231" spans="1:18" x14ac:dyDescent="0.3">
      <c r="A231" s="19">
        <v>11</v>
      </c>
      <c r="B231" s="36" t="s">
        <v>51</v>
      </c>
      <c r="C231" s="36" t="s">
        <v>22</v>
      </c>
      <c r="D231" s="36" t="s">
        <v>39</v>
      </c>
      <c r="E231" s="36">
        <v>294.80637000000502</v>
      </c>
      <c r="F231" s="20">
        <v>60000</v>
      </c>
      <c r="G231" s="20">
        <v>10000</v>
      </c>
      <c r="H231" s="36">
        <v>424.872302300005</v>
      </c>
      <c r="I231" s="20">
        <v>9323</v>
      </c>
      <c r="J231" s="20">
        <v>677</v>
      </c>
      <c r="K231" s="36">
        <v>0.93230000000000002</v>
      </c>
      <c r="L231" s="36">
        <v>0.93538645659583997</v>
      </c>
      <c r="M231" s="36">
        <v>0.93175008899216905</v>
      </c>
      <c r="N231" s="36">
        <v>0.93247952010791502</v>
      </c>
      <c r="O231" s="36">
        <v>0.5</v>
      </c>
      <c r="P231" s="20">
        <v>7</v>
      </c>
      <c r="Q231" s="20">
        <v>99999999</v>
      </c>
      <c r="R231" s="24">
        <v>43</v>
      </c>
    </row>
    <row r="232" spans="1:18" x14ac:dyDescent="0.3">
      <c r="A232" s="21">
        <v>44</v>
      </c>
      <c r="B232" s="37" t="s">
        <v>51</v>
      </c>
      <c r="C232" s="37" t="s">
        <v>23</v>
      </c>
      <c r="D232" s="37" t="s">
        <v>20</v>
      </c>
      <c r="E232" s="37">
        <v>244.10978019999999</v>
      </c>
      <c r="F232" s="22">
        <v>60000</v>
      </c>
      <c r="G232" s="22">
        <v>10000</v>
      </c>
      <c r="H232" s="37">
        <v>361.63003209999903</v>
      </c>
      <c r="I232" s="22">
        <v>9576</v>
      </c>
      <c r="J232" s="22">
        <v>424</v>
      </c>
      <c r="K232" s="37">
        <v>0.95760000000000001</v>
      </c>
      <c r="L232" s="37">
        <v>0.95722874922585199</v>
      </c>
      <c r="M232" s="37">
        <v>0.95731571778222402</v>
      </c>
      <c r="N232" s="37">
        <v>0.95721379943556095</v>
      </c>
      <c r="O232" s="37">
        <v>0.5</v>
      </c>
      <c r="P232" s="22">
        <v>7</v>
      </c>
      <c r="Q232" s="22">
        <v>99999999</v>
      </c>
      <c r="R232" s="23">
        <v>784</v>
      </c>
    </row>
    <row r="233" spans="1:18" x14ac:dyDescent="0.3">
      <c r="A233" s="21">
        <v>60</v>
      </c>
      <c r="B233" s="37" t="s">
        <v>51</v>
      </c>
      <c r="C233" s="37" t="s">
        <v>23</v>
      </c>
      <c r="D233" s="37" t="s">
        <v>26</v>
      </c>
      <c r="E233" s="37">
        <v>17.282409599998498</v>
      </c>
      <c r="F233" s="22">
        <v>60000</v>
      </c>
      <c r="G233" s="22">
        <v>10000</v>
      </c>
      <c r="H233" s="37">
        <v>41.384323599999298</v>
      </c>
      <c r="I233" s="22">
        <v>9602</v>
      </c>
      <c r="J233" s="22">
        <v>398</v>
      </c>
      <c r="K233" s="37">
        <v>0.96020000000000005</v>
      </c>
      <c r="L233" s="37">
        <v>0.95996895177421704</v>
      </c>
      <c r="M233" s="37">
        <v>0.95974106310858398</v>
      </c>
      <c r="N233" s="37">
        <v>0.95974117082969401</v>
      </c>
      <c r="O233" s="37">
        <v>0.228580506497157</v>
      </c>
      <c r="P233" s="22">
        <v>7</v>
      </c>
      <c r="Q233" s="22">
        <v>99999999</v>
      </c>
      <c r="R233" s="23">
        <v>43</v>
      </c>
    </row>
    <row r="234" spans="1:18" x14ac:dyDescent="0.3">
      <c r="A234" s="21">
        <v>52</v>
      </c>
      <c r="B234" s="37" t="s">
        <v>51</v>
      </c>
      <c r="C234" s="37" t="s">
        <v>23</v>
      </c>
      <c r="D234" s="37" t="s">
        <v>25</v>
      </c>
      <c r="E234" s="37">
        <v>12.275834599999101</v>
      </c>
      <c r="F234" s="22">
        <v>60000</v>
      </c>
      <c r="G234" s="22">
        <v>10000</v>
      </c>
      <c r="H234" s="37">
        <v>35.857325999999297</v>
      </c>
      <c r="I234" s="22">
        <v>9079</v>
      </c>
      <c r="J234" s="22">
        <v>921</v>
      </c>
      <c r="K234" s="37">
        <v>0.90790000000000004</v>
      </c>
      <c r="L234" s="37">
        <v>0.90663014833448496</v>
      </c>
      <c r="M234" s="37">
        <v>0.90679574296556098</v>
      </c>
      <c r="N234" s="37">
        <v>0.90656915563667795</v>
      </c>
      <c r="O234" s="37">
        <v>0.5</v>
      </c>
      <c r="P234" s="22">
        <v>7</v>
      </c>
      <c r="Q234" s="22">
        <v>99999999</v>
      </c>
      <c r="R234" s="23">
        <v>9</v>
      </c>
    </row>
    <row r="235" spans="1:18" x14ac:dyDescent="0.3">
      <c r="A235" s="21">
        <v>48</v>
      </c>
      <c r="B235" s="37" t="s">
        <v>51</v>
      </c>
      <c r="C235" s="37" t="s">
        <v>23</v>
      </c>
      <c r="D235" s="37" t="s">
        <v>24</v>
      </c>
      <c r="E235" s="37">
        <v>20.424324400000799</v>
      </c>
      <c r="F235" s="22">
        <v>60000</v>
      </c>
      <c r="G235" s="22">
        <v>10000</v>
      </c>
      <c r="H235" s="37">
        <v>42.728136300000102</v>
      </c>
      <c r="I235" s="22">
        <v>9784</v>
      </c>
      <c r="J235" s="22">
        <v>216</v>
      </c>
      <c r="K235" s="37">
        <v>0.97840000000000005</v>
      </c>
      <c r="L235" s="37">
        <v>0.97841541536768495</v>
      </c>
      <c r="M235" s="37">
        <v>0.97828608516350801</v>
      </c>
      <c r="N235" s="37">
        <v>0.97833480829321395</v>
      </c>
      <c r="O235" s="37">
        <v>0.5</v>
      </c>
      <c r="P235" s="22">
        <v>7</v>
      </c>
      <c r="Q235" s="22">
        <v>99999999</v>
      </c>
      <c r="R235" s="23">
        <v>43</v>
      </c>
    </row>
    <row r="236" spans="1:18" x14ac:dyDescent="0.3">
      <c r="A236" s="21">
        <v>12</v>
      </c>
      <c r="B236" s="37" t="s">
        <v>51</v>
      </c>
      <c r="C236" s="37" t="s">
        <v>23</v>
      </c>
      <c r="D236" s="37" t="s">
        <v>39</v>
      </c>
      <c r="E236" s="37">
        <v>15.082727700006201</v>
      </c>
      <c r="F236" s="22">
        <v>60000</v>
      </c>
      <c r="G236" s="22">
        <v>10000</v>
      </c>
      <c r="H236" s="37">
        <v>117.783687799994</v>
      </c>
      <c r="I236" s="22">
        <v>9293</v>
      </c>
      <c r="J236" s="22">
        <v>707</v>
      </c>
      <c r="K236" s="37">
        <v>0.92930000000000001</v>
      </c>
      <c r="L236" s="37">
        <v>0.93322191716635405</v>
      </c>
      <c r="M236" s="37">
        <v>0.92864716559544103</v>
      </c>
      <c r="N236" s="37">
        <v>0.92942760451102502</v>
      </c>
      <c r="O236" s="37">
        <v>0.5</v>
      </c>
      <c r="P236" s="22">
        <v>7</v>
      </c>
      <c r="Q236" s="22">
        <v>99999999</v>
      </c>
      <c r="R236" s="23">
        <v>43</v>
      </c>
    </row>
    <row r="237" spans="1:18" x14ac:dyDescent="0.3">
      <c r="A237" s="21">
        <v>42</v>
      </c>
      <c r="B237" s="37" t="s">
        <v>51</v>
      </c>
      <c r="C237" s="37" t="s">
        <v>21</v>
      </c>
      <c r="D237" s="37" t="s">
        <v>20</v>
      </c>
      <c r="E237" s="37">
        <v>15.6546033000013</v>
      </c>
      <c r="F237" s="22">
        <v>60000</v>
      </c>
      <c r="G237" s="22">
        <v>10000</v>
      </c>
      <c r="H237" s="37">
        <v>26.9378815</v>
      </c>
      <c r="I237" s="22">
        <v>9360</v>
      </c>
      <c r="J237" s="22">
        <v>640</v>
      </c>
      <c r="K237" s="37">
        <v>0.93600000000000005</v>
      </c>
      <c r="L237" s="37">
        <v>0.93538914339754098</v>
      </c>
      <c r="M237" s="37">
        <v>0.93533345510681498</v>
      </c>
      <c r="N237" s="37">
        <v>0.93530912856513404</v>
      </c>
      <c r="O237" s="37">
        <v>0.5</v>
      </c>
      <c r="P237" s="22">
        <v>7</v>
      </c>
      <c r="Q237" s="22">
        <v>99999999</v>
      </c>
      <c r="R237" s="23">
        <v>784</v>
      </c>
    </row>
    <row r="238" spans="1:18" x14ac:dyDescent="0.3">
      <c r="A238" s="21">
        <v>58</v>
      </c>
      <c r="B238" s="37" t="s">
        <v>51</v>
      </c>
      <c r="C238" s="37" t="s">
        <v>21</v>
      </c>
      <c r="D238" s="37" t="s">
        <v>26</v>
      </c>
      <c r="E238" s="37">
        <v>2.7453289000004499</v>
      </c>
      <c r="F238" s="22">
        <v>60000</v>
      </c>
      <c r="G238" s="22">
        <v>10000</v>
      </c>
      <c r="H238" s="37">
        <v>13.783829500000101</v>
      </c>
      <c r="I238" s="22">
        <v>9636</v>
      </c>
      <c r="J238" s="22">
        <v>364</v>
      </c>
      <c r="K238" s="37">
        <v>0.96360000000000001</v>
      </c>
      <c r="L238" s="37">
        <v>0.963244895301407</v>
      </c>
      <c r="M238" s="37">
        <v>0.96331525596758505</v>
      </c>
      <c r="N238" s="37">
        <v>0.96321791131942203</v>
      </c>
      <c r="O238" s="37">
        <v>0.228580506497157</v>
      </c>
      <c r="P238" s="22">
        <v>7</v>
      </c>
      <c r="Q238" s="22">
        <v>99999999</v>
      </c>
      <c r="R238" s="23">
        <v>43</v>
      </c>
    </row>
    <row r="239" spans="1:18" x14ac:dyDescent="0.3">
      <c r="A239" s="21">
        <v>50</v>
      </c>
      <c r="B239" s="37" t="s">
        <v>51</v>
      </c>
      <c r="C239" s="37" t="s">
        <v>21</v>
      </c>
      <c r="D239" s="37" t="s">
        <v>25</v>
      </c>
      <c r="E239" s="37">
        <v>2.34810199999992</v>
      </c>
      <c r="F239" s="22">
        <v>60000</v>
      </c>
      <c r="G239" s="22">
        <v>10000</v>
      </c>
      <c r="H239" s="37">
        <v>12.6075368000001</v>
      </c>
      <c r="I239" s="22">
        <v>9014</v>
      </c>
      <c r="J239" s="22">
        <v>986</v>
      </c>
      <c r="K239" s="37">
        <v>0.90139999999999998</v>
      </c>
      <c r="L239" s="37">
        <v>0.90008754599587504</v>
      </c>
      <c r="M239" s="37">
        <v>0.90010464870766405</v>
      </c>
      <c r="N239" s="37">
        <v>0.89999350854000204</v>
      </c>
      <c r="O239" s="37">
        <v>0.5</v>
      </c>
      <c r="P239" s="22">
        <v>7</v>
      </c>
      <c r="Q239" s="22">
        <v>99999999</v>
      </c>
      <c r="R239" s="23">
        <v>9</v>
      </c>
    </row>
    <row r="240" spans="1:18" x14ac:dyDescent="0.3">
      <c r="A240" s="21">
        <v>46</v>
      </c>
      <c r="B240" s="37" t="s">
        <v>51</v>
      </c>
      <c r="C240" s="37" t="s">
        <v>21</v>
      </c>
      <c r="D240" s="37" t="s">
        <v>24</v>
      </c>
      <c r="E240" s="37">
        <v>5.4103601999995501</v>
      </c>
      <c r="F240" s="22">
        <v>60000</v>
      </c>
      <c r="G240" s="22">
        <v>10000</v>
      </c>
      <c r="H240" s="37">
        <v>13.076301199998801</v>
      </c>
      <c r="I240" s="22">
        <v>9479</v>
      </c>
      <c r="J240" s="22">
        <v>521</v>
      </c>
      <c r="K240" s="37">
        <v>0.94789999999999996</v>
      </c>
      <c r="L240" s="37">
        <v>0.94727370665381205</v>
      </c>
      <c r="M240" s="37">
        <v>0.94748049901349396</v>
      </c>
      <c r="N240" s="37">
        <v>0.94734398477353299</v>
      </c>
      <c r="O240" s="37">
        <v>0.5</v>
      </c>
      <c r="P240" s="22">
        <v>7</v>
      </c>
      <c r="Q240" s="22">
        <v>99999999</v>
      </c>
      <c r="R240" s="23">
        <v>43</v>
      </c>
    </row>
    <row r="241" spans="1:18" x14ac:dyDescent="0.3">
      <c r="A241" s="21">
        <v>10</v>
      </c>
      <c r="B241" s="37" t="s">
        <v>51</v>
      </c>
      <c r="C241" s="37" t="s">
        <v>21</v>
      </c>
      <c r="D241" s="37" t="s">
        <v>39</v>
      </c>
      <c r="E241" s="37">
        <v>7.1512222999590396</v>
      </c>
      <c r="F241" s="22">
        <v>60000</v>
      </c>
      <c r="G241" s="22">
        <v>10000</v>
      </c>
      <c r="H241" s="37">
        <v>137.312726300035</v>
      </c>
      <c r="I241" s="22">
        <v>9354</v>
      </c>
      <c r="J241" s="22">
        <v>646</v>
      </c>
      <c r="K241" s="37">
        <v>0.93540000000000001</v>
      </c>
      <c r="L241" s="37">
        <v>0.93779835116237997</v>
      </c>
      <c r="M241" s="37">
        <v>0.93475947862208797</v>
      </c>
      <c r="N241" s="37">
        <v>0.93534819304736805</v>
      </c>
      <c r="O241" s="37">
        <v>0.5</v>
      </c>
      <c r="P241" s="22">
        <v>7</v>
      </c>
      <c r="Q241" s="22">
        <v>99999999</v>
      </c>
      <c r="R241" s="23">
        <v>43</v>
      </c>
    </row>
    <row r="242" spans="1:18" x14ac:dyDescent="0.3">
      <c r="A242" s="19">
        <v>61</v>
      </c>
      <c r="B242" s="36" t="s">
        <v>52</v>
      </c>
      <c r="C242" s="36" t="s">
        <v>19</v>
      </c>
      <c r="D242" s="36" t="s">
        <v>20</v>
      </c>
      <c r="E242" s="36">
        <v>3.9519899999504497E-2</v>
      </c>
      <c r="F242" s="20">
        <v>60000</v>
      </c>
      <c r="G242" s="20">
        <v>10000</v>
      </c>
      <c r="H242" s="36">
        <v>14.1984546000003</v>
      </c>
      <c r="I242" s="20">
        <v>9045</v>
      </c>
      <c r="J242" s="20">
        <v>955</v>
      </c>
      <c r="K242" s="36">
        <v>0.90449999999999997</v>
      </c>
      <c r="L242" s="36">
        <v>0.91226728921511502</v>
      </c>
      <c r="M242" s="36">
        <v>0.90340429352842699</v>
      </c>
      <c r="N242" s="36">
        <v>0.90469972548788502</v>
      </c>
      <c r="O242" s="36">
        <v>0.5</v>
      </c>
      <c r="P242" s="20">
        <v>7</v>
      </c>
      <c r="Q242" s="20">
        <v>99999999</v>
      </c>
      <c r="R242" s="24">
        <v>784</v>
      </c>
    </row>
    <row r="243" spans="1:18" x14ac:dyDescent="0.3">
      <c r="A243" s="19">
        <v>77</v>
      </c>
      <c r="B243" s="36" t="s">
        <v>52</v>
      </c>
      <c r="C243" s="36" t="s">
        <v>19</v>
      </c>
      <c r="D243" s="36" t="s">
        <v>26</v>
      </c>
      <c r="E243" s="36">
        <v>5.2678000010928303E-3</v>
      </c>
      <c r="F243" s="20">
        <v>60000</v>
      </c>
      <c r="G243" s="20">
        <v>10000</v>
      </c>
      <c r="H243" s="36">
        <v>11.5707141999992</v>
      </c>
      <c r="I243" s="20">
        <v>9194</v>
      </c>
      <c r="J243" s="20">
        <v>806</v>
      </c>
      <c r="K243" s="36">
        <v>0.9194</v>
      </c>
      <c r="L243" s="36">
        <v>0.91922439398780997</v>
      </c>
      <c r="M243" s="36">
        <v>0.91824959428656505</v>
      </c>
      <c r="N243" s="36">
        <v>0.91846541298560902</v>
      </c>
      <c r="O243" s="36">
        <v>0.228580506497157</v>
      </c>
      <c r="P243" s="20">
        <v>7</v>
      </c>
      <c r="Q243" s="20">
        <v>99999999</v>
      </c>
      <c r="R243" s="24">
        <v>43</v>
      </c>
    </row>
    <row r="244" spans="1:18" x14ac:dyDescent="0.3">
      <c r="A244" s="19">
        <v>69</v>
      </c>
      <c r="B244" s="36" t="s">
        <v>52</v>
      </c>
      <c r="C244" s="36" t="s">
        <v>19</v>
      </c>
      <c r="D244" s="36" t="s">
        <v>25</v>
      </c>
      <c r="E244" s="36">
        <v>0.120838099999673</v>
      </c>
      <c r="F244" s="20">
        <v>60000</v>
      </c>
      <c r="G244" s="20">
        <v>10000</v>
      </c>
      <c r="H244" s="36">
        <v>11.334861600000201</v>
      </c>
      <c r="I244" s="20">
        <v>8750</v>
      </c>
      <c r="J244" s="20">
        <v>1250</v>
      </c>
      <c r="K244" s="36">
        <v>0.875</v>
      </c>
      <c r="L244" s="36">
        <v>0.87342449316984005</v>
      </c>
      <c r="M244" s="36">
        <v>0.87324627087961904</v>
      </c>
      <c r="N244" s="36">
        <v>0.87293337301988805</v>
      </c>
      <c r="O244" s="36">
        <v>0.5</v>
      </c>
      <c r="P244" s="20">
        <v>7</v>
      </c>
      <c r="Q244" s="20">
        <v>99999999</v>
      </c>
      <c r="R244" s="24">
        <v>9</v>
      </c>
    </row>
    <row r="245" spans="1:18" x14ac:dyDescent="0.3">
      <c r="A245" s="19">
        <v>65</v>
      </c>
      <c r="B245" s="36" t="s">
        <v>52</v>
      </c>
      <c r="C245" s="36" t="s">
        <v>19</v>
      </c>
      <c r="D245" s="36" t="s">
        <v>24</v>
      </c>
      <c r="E245" s="36">
        <v>5.3547000006801604E-3</v>
      </c>
      <c r="F245" s="20">
        <v>60000</v>
      </c>
      <c r="G245" s="20">
        <v>10000</v>
      </c>
      <c r="H245" s="36">
        <v>8.2118346000006497</v>
      </c>
      <c r="I245" s="20">
        <v>9641</v>
      </c>
      <c r="J245" s="20">
        <v>359</v>
      </c>
      <c r="K245" s="36">
        <v>0.96409999999999996</v>
      </c>
      <c r="L245" s="36">
        <v>0.96425961538167004</v>
      </c>
      <c r="M245" s="36">
        <v>0.96373021809816894</v>
      </c>
      <c r="N245" s="36">
        <v>0.96390755956231899</v>
      </c>
      <c r="O245" s="36">
        <v>0.5</v>
      </c>
      <c r="P245" s="20">
        <v>7</v>
      </c>
      <c r="Q245" s="20">
        <v>99999999</v>
      </c>
      <c r="R245" s="24">
        <v>43</v>
      </c>
    </row>
    <row r="246" spans="1:18" x14ac:dyDescent="0.3">
      <c r="A246" s="19">
        <v>13</v>
      </c>
      <c r="B246" s="36" t="s">
        <v>52</v>
      </c>
      <c r="C246" s="36" t="s">
        <v>19</v>
      </c>
      <c r="D246" s="36" t="s">
        <v>39</v>
      </c>
      <c r="E246" s="36">
        <v>3.4429000224918101E-3</v>
      </c>
      <c r="F246" s="20">
        <v>60000</v>
      </c>
      <c r="G246" s="20">
        <v>10000</v>
      </c>
      <c r="H246" s="36">
        <v>96.366710599977495</v>
      </c>
      <c r="I246" s="20">
        <v>9446</v>
      </c>
      <c r="J246" s="20">
        <v>554</v>
      </c>
      <c r="K246" s="36">
        <v>0.9446</v>
      </c>
      <c r="L246" s="36">
        <v>0.94623882052609898</v>
      </c>
      <c r="M246" s="36">
        <v>0.944169290813196</v>
      </c>
      <c r="N246" s="36">
        <v>0.94459897148139205</v>
      </c>
      <c r="O246" s="36">
        <v>0.5</v>
      </c>
      <c r="P246" s="20">
        <v>7</v>
      </c>
      <c r="Q246" s="20">
        <v>99999999</v>
      </c>
      <c r="R246" s="24">
        <v>43</v>
      </c>
    </row>
    <row r="247" spans="1:18" x14ac:dyDescent="0.3">
      <c r="A247" s="19">
        <v>63</v>
      </c>
      <c r="B247" s="36" t="s">
        <v>52</v>
      </c>
      <c r="C247" s="36" t="s">
        <v>22</v>
      </c>
      <c r="D247" s="36" t="s">
        <v>20</v>
      </c>
      <c r="E247" s="36">
        <v>58.181917400001097</v>
      </c>
      <c r="F247" s="20">
        <v>60000</v>
      </c>
      <c r="G247" s="20">
        <v>10000</v>
      </c>
      <c r="H247" s="36">
        <v>69.318488500000896</v>
      </c>
      <c r="I247" s="20">
        <v>9513</v>
      </c>
      <c r="J247" s="20">
        <v>487</v>
      </c>
      <c r="K247" s="36">
        <v>0.95130000000000003</v>
      </c>
      <c r="L247" s="36">
        <v>0.95099437673731702</v>
      </c>
      <c r="M247" s="36">
        <v>0.95082736239835297</v>
      </c>
      <c r="N247" s="36">
        <v>0.95085587145612505</v>
      </c>
      <c r="O247" s="36">
        <v>0.5</v>
      </c>
      <c r="P247" s="20">
        <v>7</v>
      </c>
      <c r="Q247" s="20">
        <v>99999999</v>
      </c>
      <c r="R247" s="24">
        <v>784</v>
      </c>
    </row>
    <row r="248" spans="1:18" x14ac:dyDescent="0.3">
      <c r="A248" s="19">
        <v>79</v>
      </c>
      <c r="B248" s="36" t="s">
        <v>52</v>
      </c>
      <c r="C248" s="36" t="s">
        <v>22</v>
      </c>
      <c r="D248" s="36" t="s">
        <v>26</v>
      </c>
      <c r="E248" s="36">
        <v>536.03635209999902</v>
      </c>
      <c r="F248" s="20">
        <v>60000</v>
      </c>
      <c r="G248" s="20">
        <v>10000</v>
      </c>
      <c r="H248" s="36">
        <v>547.08559070000001</v>
      </c>
      <c r="I248" s="20">
        <v>9475</v>
      </c>
      <c r="J248" s="20">
        <v>525</v>
      </c>
      <c r="K248" s="36">
        <v>0.94750000000000001</v>
      </c>
      <c r="L248" s="36">
        <v>0.94761492645133605</v>
      </c>
      <c r="M248" s="36">
        <v>0.94713532178136906</v>
      </c>
      <c r="N248" s="36">
        <v>0.947244839627715</v>
      </c>
      <c r="O248" s="36">
        <v>0.228580506497157</v>
      </c>
      <c r="P248" s="20">
        <v>7</v>
      </c>
      <c r="Q248" s="20">
        <v>99999999</v>
      </c>
      <c r="R248" s="24">
        <v>43</v>
      </c>
    </row>
    <row r="249" spans="1:18" x14ac:dyDescent="0.3">
      <c r="A249" s="19">
        <v>71</v>
      </c>
      <c r="B249" s="36" t="s">
        <v>52</v>
      </c>
      <c r="C249" s="36" t="s">
        <v>22</v>
      </c>
      <c r="D249" s="36" t="s">
        <v>25</v>
      </c>
      <c r="E249" s="36">
        <v>313.60687619999902</v>
      </c>
      <c r="F249" s="20">
        <v>60000</v>
      </c>
      <c r="G249" s="20">
        <v>10000</v>
      </c>
      <c r="H249" s="36">
        <v>323.96044619999799</v>
      </c>
      <c r="I249" s="20">
        <v>8493</v>
      </c>
      <c r="J249" s="20">
        <v>1507</v>
      </c>
      <c r="K249" s="36">
        <v>0.84930000000000005</v>
      </c>
      <c r="L249" s="36">
        <v>0.84798955227273898</v>
      </c>
      <c r="M249" s="36">
        <v>0.84734927704880603</v>
      </c>
      <c r="N249" s="36">
        <v>0.84741797985152101</v>
      </c>
      <c r="O249" s="36">
        <v>0.5</v>
      </c>
      <c r="P249" s="20">
        <v>7</v>
      </c>
      <c r="Q249" s="20">
        <v>99999999</v>
      </c>
      <c r="R249" s="24">
        <v>9</v>
      </c>
    </row>
    <row r="250" spans="1:18" x14ac:dyDescent="0.3">
      <c r="A250" s="19">
        <v>67</v>
      </c>
      <c r="B250" s="36" t="s">
        <v>52</v>
      </c>
      <c r="C250" s="36" t="s">
        <v>22</v>
      </c>
      <c r="D250" s="36" t="s">
        <v>24</v>
      </c>
      <c r="E250" s="36">
        <v>32.996618900000598</v>
      </c>
      <c r="F250" s="20">
        <v>60000</v>
      </c>
      <c r="G250" s="20">
        <v>10000</v>
      </c>
      <c r="H250" s="36">
        <v>40.788751699999899</v>
      </c>
      <c r="I250" s="20">
        <v>9733</v>
      </c>
      <c r="J250" s="20">
        <v>267</v>
      </c>
      <c r="K250" s="36">
        <v>0.97330000000000005</v>
      </c>
      <c r="L250" s="36">
        <v>0.97323495601990595</v>
      </c>
      <c r="M250" s="36">
        <v>0.97304482213161803</v>
      </c>
      <c r="N250" s="36">
        <v>0.97313277290345501</v>
      </c>
      <c r="O250" s="36">
        <v>0.5</v>
      </c>
      <c r="P250" s="20">
        <v>7</v>
      </c>
      <c r="Q250" s="20">
        <v>99999999</v>
      </c>
      <c r="R250" s="24">
        <v>43</v>
      </c>
    </row>
    <row r="251" spans="1:18" x14ac:dyDescent="0.3">
      <c r="A251" s="19">
        <v>15</v>
      </c>
      <c r="B251" s="36" t="s">
        <v>52</v>
      </c>
      <c r="C251" s="36" t="s">
        <v>22</v>
      </c>
      <c r="D251" s="36" t="s">
        <v>39</v>
      </c>
      <c r="E251" s="36">
        <v>302.82443989999501</v>
      </c>
      <c r="F251" s="20">
        <v>60000</v>
      </c>
      <c r="G251" s="20">
        <v>10000</v>
      </c>
      <c r="H251" s="36">
        <v>398.261315900017</v>
      </c>
      <c r="I251" s="20">
        <v>9445</v>
      </c>
      <c r="J251" s="20">
        <v>555</v>
      </c>
      <c r="K251" s="36">
        <v>0.94450000000000001</v>
      </c>
      <c r="L251" s="36">
        <v>0.94599294762335495</v>
      </c>
      <c r="M251" s="36">
        <v>0.94403431692671902</v>
      </c>
      <c r="N251" s="36">
        <v>0.94444207522463597</v>
      </c>
      <c r="O251" s="36">
        <v>0.5</v>
      </c>
      <c r="P251" s="20">
        <v>7</v>
      </c>
      <c r="Q251" s="20">
        <v>99999999</v>
      </c>
      <c r="R251" s="24">
        <v>43</v>
      </c>
    </row>
    <row r="252" spans="1:18" x14ac:dyDescent="0.3">
      <c r="A252" s="21">
        <v>64</v>
      </c>
      <c r="B252" s="37" t="s">
        <v>52</v>
      </c>
      <c r="C252" s="37" t="s">
        <v>23</v>
      </c>
      <c r="D252" s="37" t="s">
        <v>20</v>
      </c>
      <c r="E252" s="37">
        <v>238.76080209999901</v>
      </c>
      <c r="F252" s="22">
        <v>60000</v>
      </c>
      <c r="G252" s="22">
        <v>10000</v>
      </c>
      <c r="H252" s="37">
        <v>354.061855699999</v>
      </c>
      <c r="I252" s="22">
        <v>9472</v>
      </c>
      <c r="J252" s="22">
        <v>528</v>
      </c>
      <c r="K252" s="37">
        <v>0.94720000000000004</v>
      </c>
      <c r="L252" s="37">
        <v>0.94691564520764304</v>
      </c>
      <c r="M252" s="37">
        <v>0.94656745650825602</v>
      </c>
      <c r="N252" s="37">
        <v>0.94664526810421001</v>
      </c>
      <c r="O252" s="37">
        <v>0.5</v>
      </c>
      <c r="P252" s="22">
        <v>7</v>
      </c>
      <c r="Q252" s="22">
        <v>99999999</v>
      </c>
      <c r="R252" s="23">
        <v>784</v>
      </c>
    </row>
    <row r="253" spans="1:18" x14ac:dyDescent="0.3">
      <c r="A253" s="21">
        <v>80</v>
      </c>
      <c r="B253" s="37" t="s">
        <v>52</v>
      </c>
      <c r="C253" s="37" t="s">
        <v>23</v>
      </c>
      <c r="D253" s="37" t="s">
        <v>26</v>
      </c>
      <c r="E253" s="37">
        <v>26.421746500000101</v>
      </c>
      <c r="F253" s="22">
        <v>60000</v>
      </c>
      <c r="G253" s="22">
        <v>10000</v>
      </c>
      <c r="H253" s="37">
        <v>54.5498952000016</v>
      </c>
      <c r="I253" s="22">
        <v>9439</v>
      </c>
      <c r="J253" s="22">
        <v>561</v>
      </c>
      <c r="K253" s="37">
        <v>0.94389999999999996</v>
      </c>
      <c r="L253" s="37">
        <v>0.94397490972669196</v>
      </c>
      <c r="M253" s="37">
        <v>0.94341133584967896</v>
      </c>
      <c r="N253" s="37">
        <v>0.94359477858180996</v>
      </c>
      <c r="O253" s="37">
        <v>0.228580506497157</v>
      </c>
      <c r="P253" s="22">
        <v>7</v>
      </c>
      <c r="Q253" s="22">
        <v>99999999</v>
      </c>
      <c r="R253" s="23">
        <v>43</v>
      </c>
    </row>
    <row r="254" spans="1:18" x14ac:dyDescent="0.3">
      <c r="A254" s="21">
        <v>72</v>
      </c>
      <c r="B254" s="37" t="s">
        <v>52</v>
      </c>
      <c r="C254" s="37" t="s">
        <v>23</v>
      </c>
      <c r="D254" s="37" t="s">
        <v>25</v>
      </c>
      <c r="E254" s="37">
        <v>14.178999199999399</v>
      </c>
      <c r="F254" s="22">
        <v>60000</v>
      </c>
      <c r="G254" s="22">
        <v>10000</v>
      </c>
      <c r="H254" s="37">
        <v>39.533525799999502</v>
      </c>
      <c r="I254" s="22">
        <v>8870</v>
      </c>
      <c r="J254" s="22">
        <v>1130</v>
      </c>
      <c r="K254" s="37">
        <v>0.88700000000000001</v>
      </c>
      <c r="L254" s="37">
        <v>0.88563298750081199</v>
      </c>
      <c r="M254" s="37">
        <v>0.88559281408744694</v>
      </c>
      <c r="N254" s="37">
        <v>0.88542013436115397</v>
      </c>
      <c r="O254" s="37">
        <v>0.5</v>
      </c>
      <c r="P254" s="22">
        <v>7</v>
      </c>
      <c r="Q254" s="22">
        <v>99999999</v>
      </c>
      <c r="R254" s="23">
        <v>9</v>
      </c>
    </row>
    <row r="255" spans="1:18" x14ac:dyDescent="0.3">
      <c r="A255" s="21">
        <v>68</v>
      </c>
      <c r="B255" s="37" t="s">
        <v>52</v>
      </c>
      <c r="C255" s="37" t="s">
        <v>23</v>
      </c>
      <c r="D255" s="37" t="s">
        <v>24</v>
      </c>
      <c r="E255" s="37">
        <v>22.0748241000001</v>
      </c>
      <c r="F255" s="22">
        <v>60000</v>
      </c>
      <c r="G255" s="22">
        <v>10000</v>
      </c>
      <c r="H255" s="37">
        <v>45.635964000000897</v>
      </c>
      <c r="I255" s="22">
        <v>9722</v>
      </c>
      <c r="J255" s="22">
        <v>278</v>
      </c>
      <c r="K255" s="37">
        <v>0.97219999999999995</v>
      </c>
      <c r="L255" s="37">
        <v>0.97208692450582701</v>
      </c>
      <c r="M255" s="37">
        <v>0.97192837384084496</v>
      </c>
      <c r="N255" s="37">
        <v>0.97199716116370805</v>
      </c>
      <c r="O255" s="37">
        <v>0.5</v>
      </c>
      <c r="P255" s="22">
        <v>7</v>
      </c>
      <c r="Q255" s="22">
        <v>99999999</v>
      </c>
      <c r="R255" s="23">
        <v>43</v>
      </c>
    </row>
    <row r="256" spans="1:18" x14ac:dyDescent="0.3">
      <c r="A256" s="21">
        <v>16</v>
      </c>
      <c r="B256" s="37" t="s">
        <v>52</v>
      </c>
      <c r="C256" s="37" t="s">
        <v>23</v>
      </c>
      <c r="D256" s="37" t="s">
        <v>39</v>
      </c>
      <c r="E256" s="37">
        <v>13.9169516000547</v>
      </c>
      <c r="F256" s="22">
        <v>60000</v>
      </c>
      <c r="G256" s="22">
        <v>10000</v>
      </c>
      <c r="H256" s="37">
        <v>115.380903000012</v>
      </c>
      <c r="I256" s="22">
        <v>9441</v>
      </c>
      <c r="J256" s="22">
        <v>559</v>
      </c>
      <c r="K256" s="37">
        <v>0.94410000000000005</v>
      </c>
      <c r="L256" s="37">
        <v>0.94590084189985102</v>
      </c>
      <c r="M256" s="37">
        <v>0.94362070702289202</v>
      </c>
      <c r="N256" s="37">
        <v>0.94406611520024697</v>
      </c>
      <c r="O256" s="37">
        <v>0.5</v>
      </c>
      <c r="P256" s="22">
        <v>7</v>
      </c>
      <c r="Q256" s="22">
        <v>99999999</v>
      </c>
      <c r="R256" s="23">
        <v>43</v>
      </c>
    </row>
    <row r="257" spans="1:18" x14ac:dyDescent="0.3">
      <c r="A257" s="21">
        <v>62</v>
      </c>
      <c r="B257" s="37" t="s">
        <v>52</v>
      </c>
      <c r="C257" s="37" t="s">
        <v>21</v>
      </c>
      <c r="D257" s="37" t="s">
        <v>20</v>
      </c>
      <c r="E257" s="37">
        <v>15.459192000000201</v>
      </c>
      <c r="F257" s="22">
        <v>60000</v>
      </c>
      <c r="G257" s="22">
        <v>10000</v>
      </c>
      <c r="H257" s="37">
        <v>26.576155599999701</v>
      </c>
      <c r="I257" s="22">
        <v>9239</v>
      </c>
      <c r="J257" s="22">
        <v>761</v>
      </c>
      <c r="K257" s="37">
        <v>0.92390000000000005</v>
      </c>
      <c r="L257" s="37">
        <v>0.92334490480161902</v>
      </c>
      <c r="M257" s="37">
        <v>0.92304917572653</v>
      </c>
      <c r="N257" s="37">
        <v>0.92309369775662997</v>
      </c>
      <c r="O257" s="37">
        <v>0.5</v>
      </c>
      <c r="P257" s="22">
        <v>7</v>
      </c>
      <c r="Q257" s="22">
        <v>99999999</v>
      </c>
      <c r="R257" s="23">
        <v>784</v>
      </c>
    </row>
    <row r="258" spans="1:18" x14ac:dyDescent="0.3">
      <c r="A258" s="21">
        <v>78</v>
      </c>
      <c r="B258" s="37" t="s">
        <v>52</v>
      </c>
      <c r="C258" s="37" t="s">
        <v>21</v>
      </c>
      <c r="D258" s="37" t="s">
        <v>26</v>
      </c>
      <c r="E258" s="37">
        <v>3.0081106999987202</v>
      </c>
      <c r="F258" s="22">
        <v>60000</v>
      </c>
      <c r="G258" s="22">
        <v>10000</v>
      </c>
      <c r="H258" s="37">
        <v>13.905104600000399</v>
      </c>
      <c r="I258" s="22">
        <v>9517</v>
      </c>
      <c r="J258" s="22">
        <v>483</v>
      </c>
      <c r="K258" s="37">
        <v>0.95169999999999999</v>
      </c>
      <c r="L258" s="37">
        <v>0.95166775906015499</v>
      </c>
      <c r="M258" s="37">
        <v>0.95152431303346696</v>
      </c>
      <c r="N258" s="37">
        <v>0.95155899093151697</v>
      </c>
      <c r="O258" s="37">
        <v>0.228580506497157</v>
      </c>
      <c r="P258" s="22">
        <v>7</v>
      </c>
      <c r="Q258" s="22">
        <v>99999999</v>
      </c>
      <c r="R258" s="23">
        <v>43</v>
      </c>
    </row>
    <row r="259" spans="1:18" x14ac:dyDescent="0.3">
      <c r="A259" s="21">
        <v>70</v>
      </c>
      <c r="B259" s="37" t="s">
        <v>52</v>
      </c>
      <c r="C259" s="37" t="s">
        <v>21</v>
      </c>
      <c r="D259" s="37" t="s">
        <v>25</v>
      </c>
      <c r="E259" s="37">
        <v>2.24360999999953</v>
      </c>
      <c r="F259" s="22">
        <v>60000</v>
      </c>
      <c r="G259" s="22">
        <v>10000</v>
      </c>
      <c r="H259" s="37">
        <v>12.560333900000799</v>
      </c>
      <c r="I259" s="22">
        <v>8782</v>
      </c>
      <c r="J259" s="22">
        <v>1218</v>
      </c>
      <c r="K259" s="37">
        <v>0.87819999999999998</v>
      </c>
      <c r="L259" s="37">
        <v>0.87658969290482902</v>
      </c>
      <c r="M259" s="37">
        <v>0.87670455159250205</v>
      </c>
      <c r="N259" s="37">
        <v>0.87651867026580599</v>
      </c>
      <c r="O259" s="37">
        <v>0.5</v>
      </c>
      <c r="P259" s="22">
        <v>7</v>
      </c>
      <c r="Q259" s="22">
        <v>99999999</v>
      </c>
      <c r="R259" s="23">
        <v>9</v>
      </c>
    </row>
    <row r="260" spans="1:18" x14ac:dyDescent="0.3">
      <c r="A260" s="21">
        <v>66</v>
      </c>
      <c r="B260" s="37" t="s">
        <v>52</v>
      </c>
      <c r="C260" s="37" t="s">
        <v>21</v>
      </c>
      <c r="D260" s="37" t="s">
        <v>24</v>
      </c>
      <c r="E260" s="37">
        <v>5.9314886000011002</v>
      </c>
      <c r="F260" s="22">
        <v>60000</v>
      </c>
      <c r="G260" s="22">
        <v>10000</v>
      </c>
      <c r="H260" s="37">
        <v>13.436466999999499</v>
      </c>
      <c r="I260" s="22">
        <v>9387</v>
      </c>
      <c r="J260" s="22">
        <v>613</v>
      </c>
      <c r="K260" s="37">
        <v>0.93869999999999998</v>
      </c>
      <c r="L260" s="37">
        <v>0.93804243445574897</v>
      </c>
      <c r="M260" s="37">
        <v>0.93809706410874705</v>
      </c>
      <c r="N260" s="37">
        <v>0.93803646850816402</v>
      </c>
      <c r="O260" s="37">
        <v>0.5</v>
      </c>
      <c r="P260" s="22">
        <v>7</v>
      </c>
      <c r="Q260" s="22">
        <v>99999999</v>
      </c>
      <c r="R260" s="23">
        <v>43</v>
      </c>
    </row>
    <row r="261" spans="1:18" x14ac:dyDescent="0.3">
      <c r="A261" s="21">
        <v>14</v>
      </c>
      <c r="B261" s="37" t="s">
        <v>52</v>
      </c>
      <c r="C261" s="37" t="s">
        <v>21</v>
      </c>
      <c r="D261" s="37" t="s">
        <v>39</v>
      </c>
      <c r="E261" s="37">
        <v>4.4016432999633199</v>
      </c>
      <c r="F261" s="22">
        <v>60000</v>
      </c>
      <c r="G261" s="22">
        <v>10000</v>
      </c>
      <c r="H261" s="37">
        <v>100.928689000022</v>
      </c>
      <c r="I261" s="22">
        <v>9473</v>
      </c>
      <c r="J261" s="22">
        <v>527</v>
      </c>
      <c r="K261" s="37">
        <v>0.94730000000000003</v>
      </c>
      <c r="L261" s="37">
        <v>0.94861902422286304</v>
      </c>
      <c r="M261" s="37">
        <v>0.94691764027462799</v>
      </c>
      <c r="N261" s="37">
        <v>0.94728736212430298</v>
      </c>
      <c r="O261" s="37">
        <v>0.5</v>
      </c>
      <c r="P261" s="22">
        <v>7</v>
      </c>
      <c r="Q261" s="22">
        <v>99999999</v>
      </c>
      <c r="R261" s="23">
        <v>43</v>
      </c>
    </row>
    <row r="262" spans="1:18" x14ac:dyDescent="0.3">
      <c r="A262" s="19">
        <v>81</v>
      </c>
      <c r="B262" s="36" t="s">
        <v>53</v>
      </c>
      <c r="C262" s="36" t="s">
        <v>19</v>
      </c>
      <c r="D262" s="36" t="s">
        <v>20</v>
      </c>
      <c r="E262" s="36">
        <v>3.8448400000561302E-2</v>
      </c>
      <c r="F262" s="20">
        <v>60000</v>
      </c>
      <c r="G262" s="20">
        <v>10000</v>
      </c>
      <c r="H262" s="36">
        <v>14.973924500000001</v>
      </c>
      <c r="I262" s="20">
        <v>9576</v>
      </c>
      <c r="J262" s="20">
        <v>424</v>
      </c>
      <c r="K262" s="36">
        <v>0.95760000000000001</v>
      </c>
      <c r="L262" s="36">
        <v>0.95902151019789905</v>
      </c>
      <c r="M262" s="36">
        <v>0.95718326268430298</v>
      </c>
      <c r="N262" s="36">
        <v>0.95763457425368903</v>
      </c>
      <c r="O262" s="36">
        <v>0.5</v>
      </c>
      <c r="P262" s="20">
        <v>7</v>
      </c>
      <c r="Q262" s="20">
        <v>99999999</v>
      </c>
      <c r="R262" s="24">
        <v>784</v>
      </c>
    </row>
    <row r="263" spans="1:18" x14ac:dyDescent="0.3">
      <c r="A263" s="19">
        <v>97</v>
      </c>
      <c r="B263" s="36" t="s">
        <v>53</v>
      </c>
      <c r="C263" s="36" t="s">
        <v>19</v>
      </c>
      <c r="D263" s="36" t="s">
        <v>26</v>
      </c>
      <c r="E263" s="36">
        <v>5.7985000003100097E-3</v>
      </c>
      <c r="F263" s="20">
        <v>60000</v>
      </c>
      <c r="G263" s="20">
        <v>10000</v>
      </c>
      <c r="H263" s="36">
        <v>10.179385899999</v>
      </c>
      <c r="I263" s="20">
        <v>7381</v>
      </c>
      <c r="J263" s="20">
        <v>2619</v>
      </c>
      <c r="K263" s="36">
        <v>0.73809999999999998</v>
      </c>
      <c r="L263" s="36">
        <v>0.73063128226906504</v>
      </c>
      <c r="M263" s="36">
        <v>0.73183738151922695</v>
      </c>
      <c r="N263" s="36">
        <v>0.72937447945207701</v>
      </c>
      <c r="O263" s="36">
        <v>0.228580506497157</v>
      </c>
      <c r="P263" s="20">
        <v>7</v>
      </c>
      <c r="Q263" s="20">
        <v>99999999</v>
      </c>
      <c r="R263" s="24">
        <v>43</v>
      </c>
    </row>
    <row r="264" spans="1:18" x14ac:dyDescent="0.3">
      <c r="A264" s="19">
        <v>89</v>
      </c>
      <c r="B264" s="36" t="s">
        <v>53</v>
      </c>
      <c r="C264" s="36" t="s">
        <v>19</v>
      </c>
      <c r="D264" s="36" t="s">
        <v>25</v>
      </c>
      <c r="E264" s="36">
        <v>0.115598300000783</v>
      </c>
      <c r="F264" s="20">
        <v>60000</v>
      </c>
      <c r="G264" s="20">
        <v>10000</v>
      </c>
      <c r="H264" s="36">
        <v>11.184709900000501</v>
      </c>
      <c r="I264" s="20">
        <v>9145</v>
      </c>
      <c r="J264" s="20">
        <v>855</v>
      </c>
      <c r="K264" s="36">
        <v>0.91449999999999998</v>
      </c>
      <c r="L264" s="36">
        <v>0.91343772598449402</v>
      </c>
      <c r="M264" s="36">
        <v>0.91323609218546598</v>
      </c>
      <c r="N264" s="36">
        <v>0.91313119911122698</v>
      </c>
      <c r="O264" s="36">
        <v>0.5</v>
      </c>
      <c r="P264" s="20">
        <v>7</v>
      </c>
      <c r="Q264" s="20">
        <v>99999999</v>
      </c>
      <c r="R264" s="24">
        <v>9</v>
      </c>
    </row>
    <row r="265" spans="1:18" x14ac:dyDescent="0.3">
      <c r="A265" s="19">
        <v>85</v>
      </c>
      <c r="B265" s="36" t="s">
        <v>53</v>
      </c>
      <c r="C265" s="36" t="s">
        <v>19</v>
      </c>
      <c r="D265" s="36" t="s">
        <v>24</v>
      </c>
      <c r="E265" s="36">
        <v>5.5184000011649897E-3</v>
      </c>
      <c r="F265" s="20">
        <v>60000</v>
      </c>
      <c r="G265" s="20">
        <v>10000</v>
      </c>
      <c r="H265" s="36">
        <v>8.3590515000014403</v>
      </c>
      <c r="I265" s="20">
        <v>9744</v>
      </c>
      <c r="J265" s="20">
        <v>256</v>
      </c>
      <c r="K265" s="36">
        <v>0.97440000000000004</v>
      </c>
      <c r="L265" s="36">
        <v>0.97440344116827504</v>
      </c>
      <c r="M265" s="36">
        <v>0.97421810507425599</v>
      </c>
      <c r="N265" s="36">
        <v>0.97426542599285804</v>
      </c>
      <c r="O265" s="36">
        <v>0.5</v>
      </c>
      <c r="P265" s="20">
        <v>7</v>
      </c>
      <c r="Q265" s="20">
        <v>99999999</v>
      </c>
      <c r="R265" s="24">
        <v>43</v>
      </c>
    </row>
    <row r="266" spans="1:18" x14ac:dyDescent="0.3">
      <c r="A266" s="19">
        <v>17</v>
      </c>
      <c r="B266" s="36" t="s">
        <v>53</v>
      </c>
      <c r="C266" s="36" t="s">
        <v>19</v>
      </c>
      <c r="D266" s="36" t="s">
        <v>39</v>
      </c>
      <c r="E266" s="36">
        <v>3.4576999605633301E-3</v>
      </c>
      <c r="F266" s="20">
        <v>60000</v>
      </c>
      <c r="G266" s="20">
        <v>10000</v>
      </c>
      <c r="H266" s="36">
        <v>100.47197660000499</v>
      </c>
      <c r="I266" s="20">
        <v>9553</v>
      </c>
      <c r="J266" s="20">
        <v>447</v>
      </c>
      <c r="K266" s="36">
        <v>0.95530000000000004</v>
      </c>
      <c r="L266" s="36">
        <v>0.95628433147116898</v>
      </c>
      <c r="M266" s="36">
        <v>0.95500325360356597</v>
      </c>
      <c r="N266" s="36">
        <v>0.95530066725784102</v>
      </c>
      <c r="O266" s="36">
        <v>0.5</v>
      </c>
      <c r="P266" s="20">
        <v>7</v>
      </c>
      <c r="Q266" s="20">
        <v>99999999</v>
      </c>
      <c r="R266" s="24">
        <v>43</v>
      </c>
    </row>
    <row r="267" spans="1:18" x14ac:dyDescent="0.3">
      <c r="A267" s="19">
        <v>83</v>
      </c>
      <c r="B267" s="36" t="s">
        <v>53</v>
      </c>
      <c r="C267" s="36" t="s">
        <v>22</v>
      </c>
      <c r="D267" s="36" t="s">
        <v>20</v>
      </c>
      <c r="E267" s="36">
        <v>111.751260500001</v>
      </c>
      <c r="F267" s="20">
        <v>60000</v>
      </c>
      <c r="G267" s="20">
        <v>10000</v>
      </c>
      <c r="H267" s="36">
        <v>123.631152399999</v>
      </c>
      <c r="I267" s="20">
        <v>9752</v>
      </c>
      <c r="J267" s="20">
        <v>248</v>
      </c>
      <c r="K267" s="36">
        <v>0.97519999999999996</v>
      </c>
      <c r="L267" s="36">
        <v>0.97513151961645395</v>
      </c>
      <c r="M267" s="36">
        <v>0.97502358966674496</v>
      </c>
      <c r="N267" s="36">
        <v>0.97496805130855602</v>
      </c>
      <c r="O267" s="36">
        <v>0.5</v>
      </c>
      <c r="P267" s="20">
        <v>7</v>
      </c>
      <c r="Q267" s="20">
        <v>99999999</v>
      </c>
      <c r="R267" s="24">
        <v>784</v>
      </c>
    </row>
    <row r="268" spans="1:18" x14ac:dyDescent="0.3">
      <c r="A268" s="19">
        <v>99</v>
      </c>
      <c r="B268" s="36" t="s">
        <v>53</v>
      </c>
      <c r="C268" s="36" t="s">
        <v>22</v>
      </c>
      <c r="D268" s="36" t="s">
        <v>26</v>
      </c>
      <c r="E268" s="36">
        <v>831.02785059999906</v>
      </c>
      <c r="F268" s="20">
        <v>60000</v>
      </c>
      <c r="G268" s="20">
        <v>10000</v>
      </c>
      <c r="H268" s="36">
        <v>840.65825109999901</v>
      </c>
      <c r="I268" s="20">
        <v>7746</v>
      </c>
      <c r="J268" s="20">
        <v>2254</v>
      </c>
      <c r="K268" s="36">
        <v>0.77459999999999996</v>
      </c>
      <c r="L268" s="36">
        <v>0.76811348825674497</v>
      </c>
      <c r="M268" s="36">
        <v>0.76979748519583502</v>
      </c>
      <c r="N268" s="36">
        <v>0.76794202821044399</v>
      </c>
      <c r="O268" s="36">
        <v>0.228580506497157</v>
      </c>
      <c r="P268" s="20">
        <v>7</v>
      </c>
      <c r="Q268" s="20">
        <v>99999999</v>
      </c>
      <c r="R268" s="24">
        <v>43</v>
      </c>
    </row>
    <row r="269" spans="1:18" x14ac:dyDescent="0.3">
      <c r="A269" s="19">
        <v>91</v>
      </c>
      <c r="B269" s="36" t="s">
        <v>53</v>
      </c>
      <c r="C269" s="36" t="s">
        <v>22</v>
      </c>
      <c r="D269" s="36" t="s">
        <v>25</v>
      </c>
      <c r="E269" s="36">
        <v>246.3669812</v>
      </c>
      <c r="F269" s="20">
        <v>60000</v>
      </c>
      <c r="G269" s="20">
        <v>10000</v>
      </c>
      <c r="H269" s="36">
        <v>256.57028059999902</v>
      </c>
      <c r="I269" s="20">
        <v>9077</v>
      </c>
      <c r="J269" s="20">
        <v>923</v>
      </c>
      <c r="K269" s="36">
        <v>0.90769999999999995</v>
      </c>
      <c r="L269" s="36">
        <v>0.906517138134459</v>
      </c>
      <c r="M269" s="36">
        <v>0.90651218720550697</v>
      </c>
      <c r="N269" s="36">
        <v>0.90640866159947397</v>
      </c>
      <c r="O269" s="36">
        <v>0.5</v>
      </c>
      <c r="P269" s="20">
        <v>7</v>
      </c>
      <c r="Q269" s="20">
        <v>99999999</v>
      </c>
      <c r="R269" s="24">
        <v>9</v>
      </c>
    </row>
    <row r="270" spans="1:18" x14ac:dyDescent="0.3">
      <c r="A270" s="19">
        <v>87</v>
      </c>
      <c r="B270" s="36" t="s">
        <v>53</v>
      </c>
      <c r="C270" s="36" t="s">
        <v>22</v>
      </c>
      <c r="D270" s="36" t="s">
        <v>24</v>
      </c>
      <c r="E270" s="36">
        <v>30.226864199999898</v>
      </c>
      <c r="F270" s="20">
        <v>60000</v>
      </c>
      <c r="G270" s="20">
        <v>10000</v>
      </c>
      <c r="H270" s="36">
        <v>37.845051399999598</v>
      </c>
      <c r="I270" s="20">
        <v>9847</v>
      </c>
      <c r="J270" s="20">
        <v>153</v>
      </c>
      <c r="K270" s="36">
        <v>0.98470000000000002</v>
      </c>
      <c r="L270" s="36">
        <v>0.98459305657811902</v>
      </c>
      <c r="M270" s="36">
        <v>0.98459133509306296</v>
      </c>
      <c r="N270" s="36">
        <v>0.98458807544809301</v>
      </c>
      <c r="O270" s="36">
        <v>0.5</v>
      </c>
      <c r="P270" s="20">
        <v>7</v>
      </c>
      <c r="Q270" s="20">
        <v>99999999</v>
      </c>
      <c r="R270" s="24">
        <v>43</v>
      </c>
    </row>
    <row r="271" spans="1:18" x14ac:dyDescent="0.3">
      <c r="A271" s="19">
        <v>19</v>
      </c>
      <c r="B271" s="36" t="s">
        <v>53</v>
      </c>
      <c r="C271" s="36" t="s">
        <v>22</v>
      </c>
      <c r="D271" s="36" t="s">
        <v>39</v>
      </c>
      <c r="E271" s="36">
        <v>325.58771109999998</v>
      </c>
      <c r="F271" s="20">
        <v>60000</v>
      </c>
      <c r="G271" s="20">
        <v>10000</v>
      </c>
      <c r="H271" s="36">
        <v>425.29043960000803</v>
      </c>
      <c r="I271" s="20">
        <v>9545</v>
      </c>
      <c r="J271" s="20">
        <v>455</v>
      </c>
      <c r="K271" s="36">
        <v>0.95450000000000002</v>
      </c>
      <c r="L271" s="36">
        <v>0.95550811863542895</v>
      </c>
      <c r="M271" s="36">
        <v>0.95417946127187203</v>
      </c>
      <c r="N271" s="36">
        <v>0.95448231854636301</v>
      </c>
      <c r="O271" s="36">
        <v>0.5</v>
      </c>
      <c r="P271" s="20">
        <v>7</v>
      </c>
      <c r="Q271" s="20">
        <v>99999999</v>
      </c>
      <c r="R271" s="24">
        <v>43</v>
      </c>
    </row>
    <row r="272" spans="1:18" x14ac:dyDescent="0.3">
      <c r="A272" s="21">
        <v>84</v>
      </c>
      <c r="B272" s="37" t="s">
        <v>53</v>
      </c>
      <c r="C272" s="37" t="s">
        <v>23</v>
      </c>
      <c r="D272" s="37" t="s">
        <v>20</v>
      </c>
      <c r="E272" s="37">
        <v>164.85769930000001</v>
      </c>
      <c r="F272" s="22">
        <v>60000</v>
      </c>
      <c r="G272" s="22">
        <v>10000</v>
      </c>
      <c r="H272" s="37">
        <v>251.99191590000001</v>
      </c>
      <c r="I272" s="22">
        <v>9666</v>
      </c>
      <c r="J272" s="22">
        <v>334</v>
      </c>
      <c r="K272" s="37">
        <v>0.96660000000000001</v>
      </c>
      <c r="L272" s="37">
        <v>0.96642044887085798</v>
      </c>
      <c r="M272" s="37">
        <v>0.96626477229626595</v>
      </c>
      <c r="N272" s="37">
        <v>0.966301786114245</v>
      </c>
      <c r="O272" s="37">
        <v>0.5</v>
      </c>
      <c r="P272" s="22">
        <v>7</v>
      </c>
      <c r="Q272" s="22">
        <v>99999999</v>
      </c>
      <c r="R272" s="23">
        <v>784</v>
      </c>
    </row>
    <row r="273" spans="1:18" x14ac:dyDescent="0.3">
      <c r="A273" s="21">
        <v>100</v>
      </c>
      <c r="B273" s="37" t="s">
        <v>53</v>
      </c>
      <c r="C273" s="37" t="s">
        <v>23</v>
      </c>
      <c r="D273" s="37" t="s">
        <v>26</v>
      </c>
      <c r="E273" s="37">
        <v>95.256549900001104</v>
      </c>
      <c r="F273" s="22">
        <v>60000</v>
      </c>
      <c r="G273" s="22">
        <v>10000</v>
      </c>
      <c r="H273" s="37">
        <v>157.28081899999901</v>
      </c>
      <c r="I273" s="22">
        <v>7226</v>
      </c>
      <c r="J273" s="22">
        <v>2774</v>
      </c>
      <c r="K273" s="37">
        <v>0.72260000000000002</v>
      </c>
      <c r="L273" s="37">
        <v>0.71910027786715303</v>
      </c>
      <c r="M273" s="37">
        <v>0.71602048198157497</v>
      </c>
      <c r="N273" s="37">
        <v>0.70969045716941104</v>
      </c>
      <c r="O273" s="37">
        <v>0.228580506497157</v>
      </c>
      <c r="P273" s="22">
        <v>7</v>
      </c>
      <c r="Q273" s="22">
        <v>99999999</v>
      </c>
      <c r="R273" s="23">
        <v>43</v>
      </c>
    </row>
    <row r="274" spans="1:18" x14ac:dyDescent="0.3">
      <c r="A274" s="21">
        <v>92</v>
      </c>
      <c r="B274" s="37" t="s">
        <v>53</v>
      </c>
      <c r="C274" s="37" t="s">
        <v>23</v>
      </c>
      <c r="D274" s="37" t="s">
        <v>25</v>
      </c>
      <c r="E274" s="37">
        <v>10.9389981999993</v>
      </c>
      <c r="F274" s="22">
        <v>60000</v>
      </c>
      <c r="G274" s="22">
        <v>10000</v>
      </c>
      <c r="H274" s="37">
        <v>33.362061400000997</v>
      </c>
      <c r="I274" s="22">
        <v>9215</v>
      </c>
      <c r="J274" s="22">
        <v>785</v>
      </c>
      <c r="K274" s="37">
        <v>0.92149999999999999</v>
      </c>
      <c r="L274" s="37">
        <v>0.92059384230693497</v>
      </c>
      <c r="M274" s="37">
        <v>0.92049934335000205</v>
      </c>
      <c r="N274" s="37">
        <v>0.92046066663606596</v>
      </c>
      <c r="O274" s="37">
        <v>0.5</v>
      </c>
      <c r="P274" s="22">
        <v>7</v>
      </c>
      <c r="Q274" s="22">
        <v>99999999</v>
      </c>
      <c r="R274" s="23">
        <v>9</v>
      </c>
    </row>
    <row r="275" spans="1:18" x14ac:dyDescent="0.3">
      <c r="A275" s="21">
        <v>88</v>
      </c>
      <c r="B275" s="37" t="s">
        <v>53</v>
      </c>
      <c r="C275" s="37" t="s">
        <v>23</v>
      </c>
      <c r="D275" s="37" t="s">
        <v>24</v>
      </c>
      <c r="E275" s="37">
        <v>18.588779399999101</v>
      </c>
      <c r="F275" s="22">
        <v>60000</v>
      </c>
      <c r="G275" s="22">
        <v>10000</v>
      </c>
      <c r="H275" s="37">
        <v>39.092984099999697</v>
      </c>
      <c r="I275" s="22">
        <v>9828</v>
      </c>
      <c r="J275" s="22">
        <v>172</v>
      </c>
      <c r="K275" s="37">
        <v>0.98280000000000001</v>
      </c>
      <c r="L275" s="37">
        <v>0.98282875900734701</v>
      </c>
      <c r="M275" s="37">
        <v>0.98268949686034102</v>
      </c>
      <c r="N275" s="37">
        <v>0.98275365829470596</v>
      </c>
      <c r="O275" s="37">
        <v>0.5</v>
      </c>
      <c r="P275" s="22">
        <v>7</v>
      </c>
      <c r="Q275" s="22">
        <v>99999999</v>
      </c>
      <c r="R275" s="23">
        <v>43</v>
      </c>
    </row>
    <row r="276" spans="1:18" x14ac:dyDescent="0.3">
      <c r="A276" s="21">
        <v>20</v>
      </c>
      <c r="B276" s="37" t="s">
        <v>53</v>
      </c>
      <c r="C276" s="37" t="s">
        <v>23</v>
      </c>
      <c r="D276" s="37" t="s">
        <v>39</v>
      </c>
      <c r="E276" s="37">
        <v>9.7841812999686208</v>
      </c>
      <c r="F276" s="22">
        <v>60000</v>
      </c>
      <c r="G276" s="22">
        <v>10000</v>
      </c>
      <c r="H276" s="37">
        <v>109.47818909998701</v>
      </c>
      <c r="I276" s="22">
        <v>9539</v>
      </c>
      <c r="J276" s="22">
        <v>461</v>
      </c>
      <c r="K276" s="37">
        <v>0.95389999999999997</v>
      </c>
      <c r="L276" s="37">
        <v>0.95492069135785995</v>
      </c>
      <c r="M276" s="37">
        <v>0.95355902707734497</v>
      </c>
      <c r="N276" s="37">
        <v>0.95385995206528595</v>
      </c>
      <c r="O276" s="37">
        <v>0.5</v>
      </c>
      <c r="P276" s="22">
        <v>7</v>
      </c>
      <c r="Q276" s="22">
        <v>99999999</v>
      </c>
      <c r="R276" s="23">
        <v>43</v>
      </c>
    </row>
    <row r="277" spans="1:18" x14ac:dyDescent="0.3">
      <c r="A277" s="21">
        <v>82</v>
      </c>
      <c r="B277" s="37" t="s">
        <v>53</v>
      </c>
      <c r="C277" s="37" t="s">
        <v>21</v>
      </c>
      <c r="D277" s="37" t="s">
        <v>20</v>
      </c>
      <c r="E277" s="37">
        <v>17.592470599998698</v>
      </c>
      <c r="F277" s="22">
        <v>60000</v>
      </c>
      <c r="G277" s="22">
        <v>10000</v>
      </c>
      <c r="H277" s="37">
        <v>29.7585676999988</v>
      </c>
      <c r="I277" s="22">
        <v>9655</v>
      </c>
      <c r="J277" s="22">
        <v>345</v>
      </c>
      <c r="K277" s="37">
        <v>0.96550000000000002</v>
      </c>
      <c r="L277" s="37">
        <v>0.96536303103497101</v>
      </c>
      <c r="M277" s="37">
        <v>0.96530605177029505</v>
      </c>
      <c r="N277" s="37">
        <v>0.96531415295324496</v>
      </c>
      <c r="O277" s="37">
        <v>0.5</v>
      </c>
      <c r="P277" s="22">
        <v>7</v>
      </c>
      <c r="Q277" s="22">
        <v>99999999</v>
      </c>
      <c r="R277" s="23">
        <v>784</v>
      </c>
    </row>
    <row r="278" spans="1:18" x14ac:dyDescent="0.3">
      <c r="A278" s="21">
        <v>98</v>
      </c>
      <c r="B278" s="37" t="s">
        <v>53</v>
      </c>
      <c r="C278" s="37" t="s">
        <v>21</v>
      </c>
      <c r="D278" s="37" t="s">
        <v>26</v>
      </c>
      <c r="E278" s="37">
        <v>2.8166464999994698</v>
      </c>
      <c r="F278" s="22">
        <v>60000</v>
      </c>
      <c r="G278" s="22">
        <v>10000</v>
      </c>
      <c r="H278" s="37">
        <v>12.460124900000601</v>
      </c>
      <c r="I278" s="22">
        <v>7711</v>
      </c>
      <c r="J278" s="22">
        <v>2289</v>
      </c>
      <c r="K278" s="37">
        <v>0.77110000000000001</v>
      </c>
      <c r="L278" s="37">
        <v>0.76733387955418197</v>
      </c>
      <c r="M278" s="37">
        <v>0.76576142423285198</v>
      </c>
      <c r="N278" s="37">
        <v>0.76362876776119404</v>
      </c>
      <c r="O278" s="37">
        <v>0.228580506497157</v>
      </c>
      <c r="P278" s="22">
        <v>7</v>
      </c>
      <c r="Q278" s="22">
        <v>99999999</v>
      </c>
      <c r="R278" s="23">
        <v>43</v>
      </c>
    </row>
    <row r="279" spans="1:18" x14ac:dyDescent="0.3">
      <c r="A279" s="21">
        <v>90</v>
      </c>
      <c r="B279" s="37" t="s">
        <v>53</v>
      </c>
      <c r="C279" s="37" t="s">
        <v>21</v>
      </c>
      <c r="D279" s="37" t="s">
        <v>25</v>
      </c>
      <c r="E279" s="37">
        <v>2.4287320999992499</v>
      </c>
      <c r="F279" s="22">
        <v>60000</v>
      </c>
      <c r="G279" s="22">
        <v>10000</v>
      </c>
      <c r="H279" s="37">
        <v>12.714729100000101</v>
      </c>
      <c r="I279" s="22">
        <v>9148</v>
      </c>
      <c r="J279" s="22">
        <v>852</v>
      </c>
      <c r="K279" s="37">
        <v>0.91479999999999995</v>
      </c>
      <c r="L279" s="37">
        <v>0.91370444026449404</v>
      </c>
      <c r="M279" s="37">
        <v>0.91371606957095797</v>
      </c>
      <c r="N279" s="37">
        <v>0.91361034357385296</v>
      </c>
      <c r="O279" s="37">
        <v>0.5</v>
      </c>
      <c r="P279" s="22">
        <v>7</v>
      </c>
      <c r="Q279" s="22">
        <v>99999999</v>
      </c>
      <c r="R279" s="23">
        <v>9</v>
      </c>
    </row>
    <row r="280" spans="1:18" x14ac:dyDescent="0.3">
      <c r="A280" s="21">
        <v>86</v>
      </c>
      <c r="B280" s="37" t="s">
        <v>53</v>
      </c>
      <c r="C280" s="37" t="s">
        <v>21</v>
      </c>
      <c r="D280" s="37" t="s">
        <v>24</v>
      </c>
      <c r="E280" s="37">
        <v>5.45395490000009</v>
      </c>
      <c r="F280" s="22">
        <v>60000</v>
      </c>
      <c r="G280" s="22">
        <v>10000</v>
      </c>
      <c r="H280" s="37">
        <v>13.183890899999801</v>
      </c>
      <c r="I280" s="22">
        <v>9546</v>
      </c>
      <c r="J280" s="22">
        <v>454</v>
      </c>
      <c r="K280" s="37">
        <v>0.9546</v>
      </c>
      <c r="L280" s="37">
        <v>0.95394831698857896</v>
      </c>
      <c r="M280" s="37">
        <v>0.954182012936862</v>
      </c>
      <c r="N280" s="37">
        <v>0.95403675579131497</v>
      </c>
      <c r="O280" s="37">
        <v>0.5</v>
      </c>
      <c r="P280" s="22">
        <v>7</v>
      </c>
      <c r="Q280" s="22">
        <v>99999999</v>
      </c>
      <c r="R280" s="23">
        <v>43</v>
      </c>
    </row>
    <row r="281" spans="1:18" x14ac:dyDescent="0.3">
      <c r="A281" s="21">
        <v>18</v>
      </c>
      <c r="B281" s="37" t="s">
        <v>53</v>
      </c>
      <c r="C281" s="37" t="s">
        <v>21</v>
      </c>
      <c r="D281" s="37" t="s">
        <v>39</v>
      </c>
      <c r="E281" s="37">
        <v>4.3014764000545203</v>
      </c>
      <c r="F281" s="22">
        <v>60000</v>
      </c>
      <c r="G281" s="22">
        <v>10000</v>
      </c>
      <c r="H281" s="37">
        <v>116.762641700042</v>
      </c>
      <c r="I281" s="22">
        <v>9558</v>
      </c>
      <c r="J281" s="22">
        <v>442</v>
      </c>
      <c r="K281" s="37">
        <v>0.95579999999999998</v>
      </c>
      <c r="L281" s="37">
        <v>0.956735181423637</v>
      </c>
      <c r="M281" s="37">
        <v>0.95551837766265602</v>
      </c>
      <c r="N281" s="37">
        <v>0.95580348554142502</v>
      </c>
      <c r="O281" s="37">
        <v>0.5</v>
      </c>
      <c r="P281" s="22">
        <v>7</v>
      </c>
      <c r="Q281" s="22">
        <v>99999999</v>
      </c>
      <c r="R281" s="23">
        <v>43</v>
      </c>
    </row>
    <row r="282" spans="1:18" x14ac:dyDescent="0.3">
      <c r="A282" s="19">
        <v>101</v>
      </c>
      <c r="B282" s="36" t="s">
        <v>54</v>
      </c>
      <c r="C282" s="36" t="s">
        <v>19</v>
      </c>
      <c r="D282" s="36" t="s">
        <v>20</v>
      </c>
      <c r="E282" s="36">
        <v>4.0831500000422197E-2</v>
      </c>
      <c r="F282" s="20">
        <v>60000</v>
      </c>
      <c r="G282" s="20">
        <v>10000</v>
      </c>
      <c r="H282" s="36">
        <v>14.4964620000009</v>
      </c>
      <c r="I282" s="20">
        <v>9392</v>
      </c>
      <c r="J282" s="20">
        <v>608</v>
      </c>
      <c r="K282" s="36">
        <v>0.93920000000000003</v>
      </c>
      <c r="L282" s="36">
        <v>0.94257386467468596</v>
      </c>
      <c r="M282" s="36">
        <v>0.93840461895573901</v>
      </c>
      <c r="N282" s="36">
        <v>0.93936095873307401</v>
      </c>
      <c r="O282" s="36">
        <v>0.5</v>
      </c>
      <c r="P282" s="20">
        <v>7</v>
      </c>
      <c r="Q282" s="20">
        <v>99999999</v>
      </c>
      <c r="R282" s="24">
        <v>784</v>
      </c>
    </row>
    <row r="283" spans="1:18" x14ac:dyDescent="0.3">
      <c r="A283" s="19">
        <v>117</v>
      </c>
      <c r="B283" s="36" t="s">
        <v>54</v>
      </c>
      <c r="C283" s="36" t="s">
        <v>19</v>
      </c>
      <c r="D283" s="36" t="s">
        <v>26</v>
      </c>
      <c r="E283" s="36">
        <v>5.3858999999647399E-3</v>
      </c>
      <c r="F283" s="20">
        <v>60000</v>
      </c>
      <c r="G283" s="20">
        <v>10000</v>
      </c>
      <c r="H283" s="36">
        <v>11.2860824999988</v>
      </c>
      <c r="I283" s="20">
        <v>9529</v>
      </c>
      <c r="J283" s="20">
        <v>471</v>
      </c>
      <c r="K283" s="36">
        <v>0.95289999999999997</v>
      </c>
      <c r="L283" s="36">
        <v>0.95270682900729897</v>
      </c>
      <c r="M283" s="36">
        <v>0.952154833898607</v>
      </c>
      <c r="N283" s="36">
        <v>0.95229768337885701</v>
      </c>
      <c r="O283" s="36">
        <v>0.228580506497157</v>
      </c>
      <c r="P283" s="20">
        <v>7</v>
      </c>
      <c r="Q283" s="20">
        <v>99999999</v>
      </c>
      <c r="R283" s="24">
        <v>43</v>
      </c>
    </row>
    <row r="284" spans="1:18" x14ac:dyDescent="0.3">
      <c r="A284" s="19">
        <v>109</v>
      </c>
      <c r="B284" s="36" t="s">
        <v>54</v>
      </c>
      <c r="C284" s="36" t="s">
        <v>19</v>
      </c>
      <c r="D284" s="36" t="s">
        <v>25</v>
      </c>
      <c r="E284" s="36">
        <v>0.117483099998935</v>
      </c>
      <c r="F284" s="20">
        <v>60000</v>
      </c>
      <c r="G284" s="20">
        <v>10000</v>
      </c>
      <c r="H284" s="36">
        <v>11.3995637000007</v>
      </c>
      <c r="I284" s="20">
        <v>7328</v>
      </c>
      <c r="J284" s="20">
        <v>2672</v>
      </c>
      <c r="K284" s="36">
        <v>0.73280000000000001</v>
      </c>
      <c r="L284" s="36">
        <v>0.72765343427728602</v>
      </c>
      <c r="M284" s="36">
        <v>0.72816788001300403</v>
      </c>
      <c r="N284" s="36">
        <v>0.72538533370702096</v>
      </c>
      <c r="O284" s="36">
        <v>0.5</v>
      </c>
      <c r="P284" s="20">
        <v>7</v>
      </c>
      <c r="Q284" s="20">
        <v>99999999</v>
      </c>
      <c r="R284" s="24">
        <v>9</v>
      </c>
    </row>
    <row r="285" spans="1:18" x14ac:dyDescent="0.3">
      <c r="A285" s="19">
        <v>105</v>
      </c>
      <c r="B285" s="36" t="s">
        <v>54</v>
      </c>
      <c r="C285" s="36" t="s">
        <v>19</v>
      </c>
      <c r="D285" s="36" t="s">
        <v>24</v>
      </c>
      <c r="E285" s="36">
        <v>5.3719000006822101E-3</v>
      </c>
      <c r="F285" s="20">
        <v>60000</v>
      </c>
      <c r="G285" s="20">
        <v>10000</v>
      </c>
      <c r="H285" s="36">
        <v>8.2976770999994098</v>
      </c>
      <c r="I285" s="20">
        <v>9610</v>
      </c>
      <c r="J285" s="20">
        <v>390</v>
      </c>
      <c r="K285" s="36">
        <v>0.96099999999999997</v>
      </c>
      <c r="L285" s="36">
        <v>0.96124789713073899</v>
      </c>
      <c r="M285" s="36">
        <v>0.96072188517889001</v>
      </c>
      <c r="N285" s="36">
        <v>0.96087495884424801</v>
      </c>
      <c r="O285" s="36">
        <v>0.5</v>
      </c>
      <c r="P285" s="20">
        <v>7</v>
      </c>
      <c r="Q285" s="20">
        <v>99999999</v>
      </c>
      <c r="R285" s="24">
        <v>43</v>
      </c>
    </row>
    <row r="286" spans="1:18" x14ac:dyDescent="0.3">
      <c r="A286" s="19">
        <v>1</v>
      </c>
      <c r="B286" s="36" t="s">
        <v>54</v>
      </c>
      <c r="C286" s="36" t="s">
        <v>19</v>
      </c>
      <c r="D286" s="36" t="s">
        <v>39</v>
      </c>
      <c r="E286" s="36">
        <v>3.3737000194378102E-3</v>
      </c>
      <c r="F286" s="20">
        <v>60000</v>
      </c>
      <c r="G286" s="20">
        <v>10000</v>
      </c>
      <c r="H286" s="36">
        <v>141.14982019999201</v>
      </c>
      <c r="I286" s="20">
        <v>9335</v>
      </c>
      <c r="J286" s="20">
        <v>665</v>
      </c>
      <c r="K286" s="36">
        <v>0.9335</v>
      </c>
      <c r="L286" s="36">
        <v>0.93616648726847995</v>
      </c>
      <c r="M286" s="36">
        <v>0.93278093721837896</v>
      </c>
      <c r="N286" s="36">
        <v>0.93353518717453599</v>
      </c>
      <c r="O286" s="36">
        <v>0.5</v>
      </c>
      <c r="P286" s="20">
        <v>7</v>
      </c>
      <c r="Q286" s="20">
        <v>99999999</v>
      </c>
      <c r="R286" s="24">
        <v>43</v>
      </c>
    </row>
    <row r="287" spans="1:18" x14ac:dyDescent="0.3">
      <c r="A287" s="19">
        <v>103</v>
      </c>
      <c r="B287" s="36" t="s">
        <v>54</v>
      </c>
      <c r="C287" s="36" t="s">
        <v>22</v>
      </c>
      <c r="D287" s="36" t="s">
        <v>20</v>
      </c>
      <c r="E287" s="36">
        <v>57.873286</v>
      </c>
      <c r="F287" s="20">
        <v>60000</v>
      </c>
      <c r="G287" s="20">
        <v>10000</v>
      </c>
      <c r="H287" s="36">
        <v>69.580553399999104</v>
      </c>
      <c r="I287" s="20">
        <v>9538</v>
      </c>
      <c r="J287" s="20">
        <v>462</v>
      </c>
      <c r="K287" s="36">
        <v>0.95379999999999998</v>
      </c>
      <c r="L287" s="36">
        <v>0.95375633889705203</v>
      </c>
      <c r="M287" s="36">
        <v>0.95321659747577203</v>
      </c>
      <c r="N287" s="36">
        <v>0.95336213328777897</v>
      </c>
      <c r="O287" s="36">
        <v>0.5</v>
      </c>
      <c r="P287" s="20">
        <v>7</v>
      </c>
      <c r="Q287" s="20">
        <v>99999999</v>
      </c>
      <c r="R287" s="24">
        <v>784</v>
      </c>
    </row>
    <row r="288" spans="1:18" x14ac:dyDescent="0.3">
      <c r="A288" s="19">
        <v>119</v>
      </c>
      <c r="B288" s="36" t="s">
        <v>54</v>
      </c>
      <c r="C288" s="36" t="s">
        <v>22</v>
      </c>
      <c r="D288" s="36" t="s">
        <v>26</v>
      </c>
      <c r="E288" s="36">
        <v>437.42509529999899</v>
      </c>
      <c r="F288" s="20">
        <v>60000</v>
      </c>
      <c r="G288" s="20">
        <v>10000</v>
      </c>
      <c r="H288" s="36">
        <v>448.32252519999901</v>
      </c>
      <c r="I288" s="20">
        <v>9732</v>
      </c>
      <c r="J288" s="20">
        <v>268</v>
      </c>
      <c r="K288" s="36">
        <v>0.97319999999999995</v>
      </c>
      <c r="L288" s="36">
        <v>0.97312607667433704</v>
      </c>
      <c r="M288" s="36">
        <v>0.97287149931628003</v>
      </c>
      <c r="N288" s="36">
        <v>0.972944115348089</v>
      </c>
      <c r="O288" s="36">
        <v>0.228580506497157</v>
      </c>
      <c r="P288" s="20">
        <v>7</v>
      </c>
      <c r="Q288" s="20">
        <v>99999999</v>
      </c>
      <c r="R288" s="24">
        <v>43</v>
      </c>
    </row>
    <row r="289" spans="1:18" x14ac:dyDescent="0.3">
      <c r="A289" s="19">
        <v>111</v>
      </c>
      <c r="B289" s="36" t="s">
        <v>54</v>
      </c>
      <c r="C289" s="36" t="s">
        <v>22</v>
      </c>
      <c r="D289" s="36" t="s">
        <v>25</v>
      </c>
      <c r="E289" s="36">
        <v>487.76486549999902</v>
      </c>
      <c r="F289" s="20">
        <v>60000</v>
      </c>
      <c r="G289" s="20">
        <v>10000</v>
      </c>
      <c r="H289" s="36">
        <v>498.23889639999999</v>
      </c>
      <c r="I289" s="20">
        <v>7106</v>
      </c>
      <c r="J289" s="20">
        <v>2894</v>
      </c>
      <c r="K289" s="36">
        <v>0.71060000000000001</v>
      </c>
      <c r="L289" s="36">
        <v>0.70929277194700802</v>
      </c>
      <c r="M289" s="36">
        <v>0.70618874956158295</v>
      </c>
      <c r="N289" s="36">
        <v>0.70590276935419805</v>
      </c>
      <c r="O289" s="36">
        <v>0.5</v>
      </c>
      <c r="P289" s="20">
        <v>7</v>
      </c>
      <c r="Q289" s="20">
        <v>99999999</v>
      </c>
      <c r="R289" s="24">
        <v>9</v>
      </c>
    </row>
    <row r="290" spans="1:18" x14ac:dyDescent="0.3">
      <c r="A290" s="19">
        <v>107</v>
      </c>
      <c r="B290" s="36" t="s">
        <v>54</v>
      </c>
      <c r="C290" s="36" t="s">
        <v>22</v>
      </c>
      <c r="D290" s="36" t="s">
        <v>24</v>
      </c>
      <c r="E290" s="36">
        <v>38.353129999999503</v>
      </c>
      <c r="F290" s="20">
        <v>60000</v>
      </c>
      <c r="G290" s="20">
        <v>10000</v>
      </c>
      <c r="H290" s="36">
        <v>46.098367300000902</v>
      </c>
      <c r="I290" s="20">
        <v>9666</v>
      </c>
      <c r="J290" s="20">
        <v>334</v>
      </c>
      <c r="K290" s="36">
        <v>0.96660000000000001</v>
      </c>
      <c r="L290" s="36">
        <v>0.96639236896180603</v>
      </c>
      <c r="M290" s="36">
        <v>0.96623671548843504</v>
      </c>
      <c r="N290" s="36">
        <v>0.96627945494518996</v>
      </c>
      <c r="O290" s="36">
        <v>0.5</v>
      </c>
      <c r="P290" s="20">
        <v>7</v>
      </c>
      <c r="Q290" s="20">
        <v>99999999</v>
      </c>
      <c r="R290" s="24">
        <v>43</v>
      </c>
    </row>
    <row r="291" spans="1:18" x14ac:dyDescent="0.3">
      <c r="A291" s="19">
        <v>3</v>
      </c>
      <c r="B291" s="36" t="s">
        <v>54</v>
      </c>
      <c r="C291" s="36" t="s">
        <v>22</v>
      </c>
      <c r="D291" s="36" t="s">
        <v>39</v>
      </c>
      <c r="E291" s="36">
        <v>202.350272500014</v>
      </c>
      <c r="F291" s="20">
        <v>60000</v>
      </c>
      <c r="G291" s="20">
        <v>10000</v>
      </c>
      <c r="H291" s="36">
        <v>313.29193469998398</v>
      </c>
      <c r="I291" s="20">
        <v>9274</v>
      </c>
      <c r="J291" s="20">
        <v>726</v>
      </c>
      <c r="K291" s="36">
        <v>0.9274</v>
      </c>
      <c r="L291" s="36">
        <v>0.93083233354128003</v>
      </c>
      <c r="M291" s="36">
        <v>0.92655634806588905</v>
      </c>
      <c r="N291" s="36">
        <v>0.92699094873767796</v>
      </c>
      <c r="O291" s="36">
        <v>0.5</v>
      </c>
      <c r="P291" s="20">
        <v>7</v>
      </c>
      <c r="Q291" s="20">
        <v>99999999</v>
      </c>
      <c r="R291" s="24">
        <v>43</v>
      </c>
    </row>
    <row r="292" spans="1:18" x14ac:dyDescent="0.3">
      <c r="A292" s="21">
        <v>104</v>
      </c>
      <c r="B292" s="37" t="s">
        <v>54</v>
      </c>
      <c r="C292" s="37" t="s">
        <v>23</v>
      </c>
      <c r="D292" s="37" t="s">
        <v>20</v>
      </c>
      <c r="E292" s="37">
        <v>394.20109739999998</v>
      </c>
      <c r="F292" s="22">
        <v>60000</v>
      </c>
      <c r="G292" s="22">
        <v>10000</v>
      </c>
      <c r="H292" s="37">
        <v>534.61787729999901</v>
      </c>
      <c r="I292" s="22">
        <v>9562</v>
      </c>
      <c r="J292" s="22">
        <v>438</v>
      </c>
      <c r="K292" s="37">
        <v>0.95620000000000005</v>
      </c>
      <c r="L292" s="37">
        <v>0.95598624151163403</v>
      </c>
      <c r="M292" s="37">
        <v>0.955682307284062</v>
      </c>
      <c r="N292" s="37">
        <v>0.95577103073139902</v>
      </c>
      <c r="O292" s="37">
        <v>0.5</v>
      </c>
      <c r="P292" s="22">
        <v>7</v>
      </c>
      <c r="Q292" s="22">
        <v>99999999</v>
      </c>
      <c r="R292" s="23">
        <v>784</v>
      </c>
    </row>
    <row r="293" spans="1:18" x14ac:dyDescent="0.3">
      <c r="A293" s="21">
        <v>120</v>
      </c>
      <c r="B293" s="37" t="s">
        <v>54</v>
      </c>
      <c r="C293" s="37" t="s">
        <v>23</v>
      </c>
      <c r="D293" s="37" t="s">
        <v>26</v>
      </c>
      <c r="E293" s="37">
        <v>21.849084600000399</v>
      </c>
      <c r="F293" s="22">
        <v>60000</v>
      </c>
      <c r="G293" s="22">
        <v>10000</v>
      </c>
      <c r="H293" s="37">
        <v>47.884689899999998</v>
      </c>
      <c r="I293" s="22">
        <v>9624</v>
      </c>
      <c r="J293" s="22">
        <v>376</v>
      </c>
      <c r="K293" s="37">
        <v>0.96240000000000003</v>
      </c>
      <c r="L293" s="37">
        <v>0.96235471317052101</v>
      </c>
      <c r="M293" s="37">
        <v>0.96190536572992702</v>
      </c>
      <c r="N293" s="37">
        <v>0.96206576009496902</v>
      </c>
      <c r="O293" s="37">
        <v>0.228580506497157</v>
      </c>
      <c r="P293" s="22">
        <v>7</v>
      </c>
      <c r="Q293" s="22">
        <v>99999999</v>
      </c>
      <c r="R293" s="23">
        <v>43</v>
      </c>
    </row>
    <row r="294" spans="1:18" x14ac:dyDescent="0.3">
      <c r="A294" s="32">
        <v>112</v>
      </c>
      <c r="B294" s="33" t="s">
        <v>54</v>
      </c>
      <c r="C294" s="33" t="s">
        <v>23</v>
      </c>
      <c r="D294" s="33" t="s">
        <v>25</v>
      </c>
      <c r="E294" s="33">
        <v>35.235491699999301</v>
      </c>
      <c r="F294" s="34">
        <v>60000</v>
      </c>
      <c r="G294" s="34">
        <v>10000</v>
      </c>
      <c r="H294" s="33">
        <v>73.877383099999804</v>
      </c>
      <c r="I294" s="34">
        <v>7526</v>
      </c>
      <c r="J294" s="34">
        <v>2474</v>
      </c>
      <c r="K294" s="33">
        <v>0.75260000000000005</v>
      </c>
      <c r="L294" s="33">
        <v>0.74883999617479802</v>
      </c>
      <c r="M294" s="33">
        <v>0.74902575397709403</v>
      </c>
      <c r="N294" s="33">
        <v>0.74793235033864502</v>
      </c>
      <c r="O294" s="33">
        <v>0.5</v>
      </c>
      <c r="P294" s="34">
        <v>7</v>
      </c>
      <c r="Q294" s="34">
        <v>99999999</v>
      </c>
      <c r="R294" s="35">
        <v>9</v>
      </c>
    </row>
    <row r="295" spans="1:18" x14ac:dyDescent="0.3">
      <c r="A295" s="32">
        <v>108</v>
      </c>
      <c r="B295" s="33" t="s">
        <v>54</v>
      </c>
      <c r="C295" s="33" t="s">
        <v>23</v>
      </c>
      <c r="D295" s="33" t="s">
        <v>24</v>
      </c>
      <c r="E295" s="33">
        <v>37.6056102000002</v>
      </c>
      <c r="F295" s="34">
        <v>60000</v>
      </c>
      <c r="G295" s="34">
        <v>10000</v>
      </c>
      <c r="H295" s="33">
        <v>66.417482800001295</v>
      </c>
      <c r="I295" s="34">
        <v>9664</v>
      </c>
      <c r="J295" s="34">
        <v>336</v>
      </c>
      <c r="K295" s="33">
        <v>0.96640000000000004</v>
      </c>
      <c r="L295" s="33">
        <v>0.96629452006738303</v>
      </c>
      <c r="M295" s="33">
        <v>0.96602997043662797</v>
      </c>
      <c r="N295" s="33">
        <v>0.96613901906281896</v>
      </c>
      <c r="O295" s="33">
        <v>0.5</v>
      </c>
      <c r="P295" s="34">
        <v>7</v>
      </c>
      <c r="Q295" s="34">
        <v>99999999</v>
      </c>
      <c r="R295" s="35">
        <v>43</v>
      </c>
    </row>
    <row r="296" spans="1:18" x14ac:dyDescent="0.3">
      <c r="A296" s="32">
        <v>4</v>
      </c>
      <c r="B296" s="33" t="s">
        <v>54</v>
      </c>
      <c r="C296" s="33" t="s">
        <v>23</v>
      </c>
      <c r="D296" s="33" t="s">
        <v>39</v>
      </c>
      <c r="E296" s="33">
        <v>37.370977999991702</v>
      </c>
      <c r="F296" s="34">
        <v>60000</v>
      </c>
      <c r="G296" s="34">
        <v>10000</v>
      </c>
      <c r="H296" s="33">
        <v>171.66174680000401</v>
      </c>
      <c r="I296" s="34">
        <v>9273</v>
      </c>
      <c r="J296" s="34">
        <v>727</v>
      </c>
      <c r="K296" s="33">
        <v>0.92730000000000001</v>
      </c>
      <c r="L296" s="33">
        <v>0.93109239309542202</v>
      </c>
      <c r="M296" s="33">
        <v>0.92640543704803802</v>
      </c>
      <c r="N296" s="33">
        <v>0.92714686458653806</v>
      </c>
      <c r="O296" s="33">
        <v>0.5</v>
      </c>
      <c r="P296" s="34">
        <v>7</v>
      </c>
      <c r="Q296" s="34">
        <v>99999999</v>
      </c>
      <c r="R296" s="35">
        <v>43</v>
      </c>
    </row>
    <row r="297" spans="1:18" x14ac:dyDescent="0.3">
      <c r="A297" s="32">
        <v>102</v>
      </c>
      <c r="B297" s="33" t="s">
        <v>54</v>
      </c>
      <c r="C297" s="33" t="s">
        <v>21</v>
      </c>
      <c r="D297" s="33" t="s">
        <v>20</v>
      </c>
      <c r="E297" s="33">
        <v>13.7448195999986</v>
      </c>
      <c r="F297" s="34">
        <v>60000</v>
      </c>
      <c r="G297" s="34">
        <v>10000</v>
      </c>
      <c r="H297" s="33">
        <v>25.239153799999201</v>
      </c>
      <c r="I297" s="34">
        <v>9066</v>
      </c>
      <c r="J297" s="34">
        <v>934</v>
      </c>
      <c r="K297" s="33">
        <v>0.90659999999999996</v>
      </c>
      <c r="L297" s="33">
        <v>0.90717410955633404</v>
      </c>
      <c r="M297" s="33">
        <v>0.90542648318756902</v>
      </c>
      <c r="N297" s="33">
        <v>0.90587653473471497</v>
      </c>
      <c r="O297" s="33">
        <v>0.5</v>
      </c>
      <c r="P297" s="34">
        <v>7</v>
      </c>
      <c r="Q297" s="34">
        <v>99999999</v>
      </c>
      <c r="R297" s="35">
        <v>784</v>
      </c>
    </row>
    <row r="298" spans="1:18" x14ac:dyDescent="0.3">
      <c r="A298" s="32">
        <v>118</v>
      </c>
      <c r="B298" s="33" t="s">
        <v>54</v>
      </c>
      <c r="C298" s="33" t="s">
        <v>21</v>
      </c>
      <c r="D298" s="33" t="s">
        <v>26</v>
      </c>
      <c r="E298" s="33">
        <v>2.9431387000004099</v>
      </c>
      <c r="F298" s="34">
        <v>60000</v>
      </c>
      <c r="G298" s="34">
        <v>10000</v>
      </c>
      <c r="H298" s="33">
        <v>13.705802899999901</v>
      </c>
      <c r="I298" s="34">
        <v>9653</v>
      </c>
      <c r="J298" s="34">
        <v>347</v>
      </c>
      <c r="K298" s="33">
        <v>0.96530000000000005</v>
      </c>
      <c r="L298" s="33">
        <v>0.96513695119575704</v>
      </c>
      <c r="M298" s="33">
        <v>0.96504715927981699</v>
      </c>
      <c r="N298" s="33">
        <v>0.96506820564937701</v>
      </c>
      <c r="O298" s="33">
        <v>0.228580506497157</v>
      </c>
      <c r="P298" s="34">
        <v>7</v>
      </c>
      <c r="Q298" s="34">
        <v>99999999</v>
      </c>
      <c r="R298" s="35">
        <v>43</v>
      </c>
    </row>
    <row r="299" spans="1:18" x14ac:dyDescent="0.3">
      <c r="A299" s="32">
        <v>110</v>
      </c>
      <c r="B299" s="33" t="s">
        <v>54</v>
      </c>
      <c r="C299" s="33" t="s">
        <v>21</v>
      </c>
      <c r="D299" s="33" t="s">
        <v>25</v>
      </c>
      <c r="E299" s="33">
        <v>2.4367472999983799</v>
      </c>
      <c r="F299" s="34">
        <v>60000</v>
      </c>
      <c r="G299" s="34">
        <v>10000</v>
      </c>
      <c r="H299" s="33">
        <v>12.867740300000101</v>
      </c>
      <c r="I299" s="34">
        <v>7415</v>
      </c>
      <c r="J299" s="34">
        <v>2585</v>
      </c>
      <c r="K299" s="33">
        <v>0.74150000000000005</v>
      </c>
      <c r="L299" s="33">
        <v>0.73699860376686699</v>
      </c>
      <c r="M299" s="33">
        <v>0.73791205900927204</v>
      </c>
      <c r="N299" s="33">
        <v>0.73667631167706205</v>
      </c>
      <c r="O299" s="33">
        <v>0.5</v>
      </c>
      <c r="P299" s="34">
        <v>7</v>
      </c>
      <c r="Q299" s="34">
        <v>99999999</v>
      </c>
      <c r="R299" s="35">
        <v>9</v>
      </c>
    </row>
    <row r="300" spans="1:18" x14ac:dyDescent="0.3">
      <c r="A300" s="32">
        <v>106</v>
      </c>
      <c r="B300" s="33" t="s">
        <v>54</v>
      </c>
      <c r="C300" s="33" t="s">
        <v>21</v>
      </c>
      <c r="D300" s="33" t="s">
        <v>24</v>
      </c>
      <c r="E300" s="33">
        <v>5.5732459999999202</v>
      </c>
      <c r="F300" s="34">
        <v>60000</v>
      </c>
      <c r="G300" s="34">
        <v>10000</v>
      </c>
      <c r="H300" s="33">
        <v>13.3116346999995</v>
      </c>
      <c r="I300" s="34">
        <v>9123</v>
      </c>
      <c r="J300" s="34">
        <v>877</v>
      </c>
      <c r="K300" s="33">
        <v>0.9123</v>
      </c>
      <c r="L300" s="33">
        <v>0.91132199481059795</v>
      </c>
      <c r="M300" s="33">
        <v>0.911113603105972</v>
      </c>
      <c r="N300" s="33">
        <v>0.91112499042447803</v>
      </c>
      <c r="O300" s="33">
        <v>0.5</v>
      </c>
      <c r="P300" s="34">
        <v>7</v>
      </c>
      <c r="Q300" s="34">
        <v>99999999</v>
      </c>
      <c r="R300" s="35">
        <v>43</v>
      </c>
    </row>
    <row r="301" spans="1:18" x14ac:dyDescent="0.3">
      <c r="A301" s="32">
        <v>2</v>
      </c>
      <c r="B301" s="33" t="s">
        <v>54</v>
      </c>
      <c r="C301" s="33" t="s">
        <v>21</v>
      </c>
      <c r="D301" s="33" t="s">
        <v>39</v>
      </c>
      <c r="E301" s="33">
        <v>5.47960759996203</v>
      </c>
      <c r="F301" s="34">
        <v>60000</v>
      </c>
      <c r="G301" s="34">
        <v>10000</v>
      </c>
      <c r="H301" s="33">
        <v>115.473495499987</v>
      </c>
      <c r="I301" s="34">
        <v>9373</v>
      </c>
      <c r="J301" s="34">
        <v>627</v>
      </c>
      <c r="K301" s="33">
        <v>0.93730000000000002</v>
      </c>
      <c r="L301" s="33">
        <v>0.93993403874811998</v>
      </c>
      <c r="M301" s="33">
        <v>0.93662949566232401</v>
      </c>
      <c r="N301" s="33">
        <v>0.93739229927799195</v>
      </c>
      <c r="O301" s="33">
        <v>0.5</v>
      </c>
      <c r="P301" s="34">
        <v>7</v>
      </c>
      <c r="Q301" s="34">
        <v>99999999</v>
      </c>
      <c r="R301" s="35">
        <v>43</v>
      </c>
    </row>
    <row r="302" spans="1:18" x14ac:dyDescent="0.3">
      <c r="A302" s="28">
        <v>121</v>
      </c>
      <c r="B302" s="29" t="s">
        <v>55</v>
      </c>
      <c r="C302" s="29" t="s">
        <v>19</v>
      </c>
      <c r="D302" s="29" t="s">
        <v>20</v>
      </c>
      <c r="E302" s="29">
        <v>4.1900799998984398E-2</v>
      </c>
      <c r="F302" s="30">
        <v>60000</v>
      </c>
      <c r="G302" s="30">
        <v>10000</v>
      </c>
      <c r="H302" s="29">
        <v>14.592735899999701</v>
      </c>
      <c r="I302" s="30">
        <v>8276</v>
      </c>
      <c r="J302" s="30">
        <v>1724</v>
      </c>
      <c r="K302" s="29">
        <v>0.8276</v>
      </c>
      <c r="L302" s="29">
        <v>0.85482204265428297</v>
      </c>
      <c r="M302" s="29">
        <v>0.82467064525899003</v>
      </c>
      <c r="N302" s="29">
        <v>0.82982323139646996</v>
      </c>
      <c r="O302" s="29">
        <v>0.5</v>
      </c>
      <c r="P302" s="30">
        <v>7</v>
      </c>
      <c r="Q302" s="30">
        <v>99999999</v>
      </c>
      <c r="R302" s="31">
        <v>784</v>
      </c>
    </row>
    <row r="303" spans="1:18" x14ac:dyDescent="0.3">
      <c r="A303" s="28">
        <v>137</v>
      </c>
      <c r="B303" s="29" t="s">
        <v>55</v>
      </c>
      <c r="C303" s="29" t="s">
        <v>19</v>
      </c>
      <c r="D303" s="29" t="s">
        <v>26</v>
      </c>
      <c r="E303" s="29">
        <v>5.10509999730857E-3</v>
      </c>
      <c r="F303" s="30">
        <v>60000</v>
      </c>
      <c r="G303" s="30">
        <v>10000</v>
      </c>
      <c r="H303" s="29">
        <v>11.864387300000001</v>
      </c>
      <c r="I303" s="30">
        <v>8790</v>
      </c>
      <c r="J303" s="30">
        <v>1210</v>
      </c>
      <c r="K303" s="29">
        <v>0.879</v>
      </c>
      <c r="L303" s="29">
        <v>0.88037230842682301</v>
      </c>
      <c r="M303" s="29">
        <v>0.87652657263284595</v>
      </c>
      <c r="N303" s="29">
        <v>0.87690064513916999</v>
      </c>
      <c r="O303" s="29">
        <v>0.228580506497157</v>
      </c>
      <c r="P303" s="30">
        <v>7</v>
      </c>
      <c r="Q303" s="30">
        <v>99999999</v>
      </c>
      <c r="R303" s="31">
        <v>43</v>
      </c>
    </row>
    <row r="304" spans="1:18" x14ac:dyDescent="0.3">
      <c r="A304" s="28">
        <v>129</v>
      </c>
      <c r="B304" s="29" t="s">
        <v>55</v>
      </c>
      <c r="C304" s="29" t="s">
        <v>19</v>
      </c>
      <c r="D304" s="29" t="s">
        <v>25</v>
      </c>
      <c r="E304" s="29">
        <v>0.116909500000474</v>
      </c>
      <c r="F304" s="30">
        <v>60000</v>
      </c>
      <c r="G304" s="30">
        <v>10000</v>
      </c>
      <c r="H304" s="29">
        <v>11.236978199998701</v>
      </c>
      <c r="I304" s="30">
        <v>9060</v>
      </c>
      <c r="J304" s="30">
        <v>940</v>
      </c>
      <c r="K304" s="29">
        <v>0.90600000000000003</v>
      </c>
      <c r="L304" s="29">
        <v>0.90492820093136905</v>
      </c>
      <c r="M304" s="29">
        <v>0.90457755821015995</v>
      </c>
      <c r="N304" s="29">
        <v>0.90450737012834104</v>
      </c>
      <c r="O304" s="29">
        <v>0.5</v>
      </c>
      <c r="P304" s="30">
        <v>7</v>
      </c>
      <c r="Q304" s="30">
        <v>99999999</v>
      </c>
      <c r="R304" s="31">
        <v>9</v>
      </c>
    </row>
    <row r="305" spans="1:18" x14ac:dyDescent="0.3">
      <c r="A305" s="28">
        <v>125</v>
      </c>
      <c r="B305" s="29" t="s">
        <v>55</v>
      </c>
      <c r="C305" s="29" t="s">
        <v>19</v>
      </c>
      <c r="D305" s="29" t="s">
        <v>24</v>
      </c>
      <c r="E305" s="29">
        <v>5.3086999996594299E-3</v>
      </c>
      <c r="F305" s="30">
        <v>60000</v>
      </c>
      <c r="G305" s="30">
        <v>10000</v>
      </c>
      <c r="H305" s="29">
        <v>8.5592710000000807</v>
      </c>
      <c r="I305" s="30">
        <v>9274</v>
      </c>
      <c r="J305" s="30">
        <v>726</v>
      </c>
      <c r="K305" s="29">
        <v>0.9274</v>
      </c>
      <c r="L305" s="29">
        <v>0.92846889509332597</v>
      </c>
      <c r="M305" s="29">
        <v>0.92642895323747398</v>
      </c>
      <c r="N305" s="29">
        <v>0.92690848941454596</v>
      </c>
      <c r="O305" s="29">
        <v>0.5</v>
      </c>
      <c r="P305" s="30">
        <v>7</v>
      </c>
      <c r="Q305" s="30">
        <v>99999999</v>
      </c>
      <c r="R305" s="31">
        <v>43</v>
      </c>
    </row>
    <row r="306" spans="1:18" x14ac:dyDescent="0.3">
      <c r="A306" s="28">
        <v>21</v>
      </c>
      <c r="B306" s="29" t="s">
        <v>55</v>
      </c>
      <c r="C306" s="29" t="s">
        <v>19</v>
      </c>
      <c r="D306" s="29" t="s">
        <v>39</v>
      </c>
      <c r="E306" s="29">
        <v>3.0985000194050298E-3</v>
      </c>
      <c r="F306" s="30">
        <v>60000</v>
      </c>
      <c r="G306" s="30">
        <v>10000</v>
      </c>
      <c r="H306" s="29">
        <v>107.511090599989</v>
      </c>
      <c r="I306" s="30">
        <v>7455</v>
      </c>
      <c r="J306" s="30">
        <v>2545</v>
      </c>
      <c r="K306" s="29">
        <v>0.74550000000000005</v>
      </c>
      <c r="L306" s="29">
        <v>0.753113523741889</v>
      </c>
      <c r="M306" s="29">
        <v>0.74179752813359601</v>
      </c>
      <c r="N306" s="29">
        <v>0.74189613373258601</v>
      </c>
      <c r="O306" s="29">
        <v>0.5</v>
      </c>
      <c r="P306" s="30">
        <v>7</v>
      </c>
      <c r="Q306" s="30">
        <v>99999999</v>
      </c>
      <c r="R306" s="31">
        <v>43</v>
      </c>
    </row>
    <row r="307" spans="1:18" x14ac:dyDescent="0.3">
      <c r="A307" s="28">
        <v>123</v>
      </c>
      <c r="B307" s="29" t="s">
        <v>55</v>
      </c>
      <c r="C307" s="29" t="s">
        <v>22</v>
      </c>
      <c r="D307" s="29" t="s">
        <v>20</v>
      </c>
      <c r="E307" s="29">
        <v>80.4404440999987</v>
      </c>
      <c r="F307" s="30">
        <v>60000</v>
      </c>
      <c r="G307" s="30">
        <v>10000</v>
      </c>
      <c r="H307" s="29">
        <v>91.797498199999595</v>
      </c>
      <c r="I307" s="30">
        <v>9623</v>
      </c>
      <c r="J307" s="30">
        <v>377</v>
      </c>
      <c r="K307" s="29">
        <v>0.96230000000000004</v>
      </c>
      <c r="L307" s="29">
        <v>0.96221122994200503</v>
      </c>
      <c r="M307" s="29">
        <v>0.96188277122788801</v>
      </c>
      <c r="N307" s="29">
        <v>0.96189957660482295</v>
      </c>
      <c r="O307" s="29">
        <v>0.5</v>
      </c>
      <c r="P307" s="30">
        <v>7</v>
      </c>
      <c r="Q307" s="30">
        <v>99999999</v>
      </c>
      <c r="R307" s="31">
        <v>784</v>
      </c>
    </row>
    <row r="308" spans="1:18" x14ac:dyDescent="0.3">
      <c r="A308" s="28">
        <v>139</v>
      </c>
      <c r="B308" s="29" t="s">
        <v>55</v>
      </c>
      <c r="C308" s="29" t="s">
        <v>22</v>
      </c>
      <c r="D308" s="29" t="s">
        <v>26</v>
      </c>
      <c r="E308" s="29">
        <v>668.33117609999999</v>
      </c>
      <c r="F308" s="30">
        <v>60000</v>
      </c>
      <c r="G308" s="30">
        <v>10000</v>
      </c>
      <c r="H308" s="29">
        <v>679.70896249999998</v>
      </c>
      <c r="I308" s="30">
        <v>9370</v>
      </c>
      <c r="J308" s="30">
        <v>630</v>
      </c>
      <c r="K308" s="29">
        <v>0.93700000000000006</v>
      </c>
      <c r="L308" s="29">
        <v>0.93648961243205298</v>
      </c>
      <c r="M308" s="29">
        <v>0.93646210196494895</v>
      </c>
      <c r="N308" s="29">
        <v>0.93628889358476697</v>
      </c>
      <c r="O308" s="29">
        <v>0.228580506497157</v>
      </c>
      <c r="P308" s="30">
        <v>7</v>
      </c>
      <c r="Q308" s="30">
        <v>99999999</v>
      </c>
      <c r="R308" s="31">
        <v>43</v>
      </c>
    </row>
    <row r="309" spans="1:18" x14ac:dyDescent="0.3">
      <c r="A309" s="28">
        <v>131</v>
      </c>
      <c r="B309" s="29" t="s">
        <v>55</v>
      </c>
      <c r="C309" s="29" t="s">
        <v>22</v>
      </c>
      <c r="D309" s="29" t="s">
        <v>25</v>
      </c>
      <c r="E309" s="29">
        <v>239.714090099998</v>
      </c>
      <c r="F309" s="30">
        <v>60000</v>
      </c>
      <c r="G309" s="30">
        <v>10000</v>
      </c>
      <c r="H309" s="29">
        <v>250.34361619999899</v>
      </c>
      <c r="I309" s="30">
        <v>8899</v>
      </c>
      <c r="J309" s="30">
        <v>1101</v>
      </c>
      <c r="K309" s="29">
        <v>0.88990000000000002</v>
      </c>
      <c r="L309" s="29">
        <v>0.88879704208273502</v>
      </c>
      <c r="M309" s="29">
        <v>0.88862965304439501</v>
      </c>
      <c r="N309" s="29">
        <v>0.88862652029936995</v>
      </c>
      <c r="O309" s="29">
        <v>0.5</v>
      </c>
      <c r="P309" s="30">
        <v>7</v>
      </c>
      <c r="Q309" s="30">
        <v>99999999</v>
      </c>
      <c r="R309" s="31">
        <v>9</v>
      </c>
    </row>
    <row r="310" spans="1:18" x14ac:dyDescent="0.3">
      <c r="A310" s="28">
        <v>127</v>
      </c>
      <c r="B310" s="29" t="s">
        <v>55</v>
      </c>
      <c r="C310" s="29" t="s">
        <v>22</v>
      </c>
      <c r="D310" s="29" t="s">
        <v>24</v>
      </c>
      <c r="E310" s="29">
        <v>31.815789099999101</v>
      </c>
      <c r="F310" s="30">
        <v>60000</v>
      </c>
      <c r="G310" s="30">
        <v>10000</v>
      </c>
      <c r="H310" s="29">
        <v>39.445986000000602</v>
      </c>
      <c r="I310" s="30">
        <v>9705</v>
      </c>
      <c r="J310" s="30">
        <v>295</v>
      </c>
      <c r="K310" s="29">
        <v>0.97050000000000003</v>
      </c>
      <c r="L310" s="29">
        <v>0.97027819197265497</v>
      </c>
      <c r="M310" s="29">
        <v>0.97017507247018997</v>
      </c>
      <c r="N310" s="29">
        <v>0.97021786481497796</v>
      </c>
      <c r="O310" s="29">
        <v>0.5</v>
      </c>
      <c r="P310" s="30">
        <v>7</v>
      </c>
      <c r="Q310" s="30">
        <v>99999999</v>
      </c>
      <c r="R310" s="31">
        <v>43</v>
      </c>
    </row>
    <row r="311" spans="1:18" x14ac:dyDescent="0.3">
      <c r="A311" s="28">
        <v>23</v>
      </c>
      <c r="B311" s="29" t="s">
        <v>55</v>
      </c>
      <c r="C311" s="29" t="s">
        <v>22</v>
      </c>
      <c r="D311" s="29" t="s">
        <v>39</v>
      </c>
      <c r="E311" s="29">
        <v>294.84472590003799</v>
      </c>
      <c r="F311" s="30">
        <v>60000</v>
      </c>
      <c r="G311" s="30">
        <v>10000</v>
      </c>
      <c r="H311" s="29">
        <v>402.157295099983</v>
      </c>
      <c r="I311" s="30">
        <v>7262</v>
      </c>
      <c r="J311" s="30">
        <v>2738</v>
      </c>
      <c r="K311" s="29">
        <v>0.72619999999999996</v>
      </c>
      <c r="L311" s="29">
        <v>0.75756060704420403</v>
      </c>
      <c r="M311" s="29">
        <v>0.72036460453426299</v>
      </c>
      <c r="N311" s="29">
        <v>0.71043892884445103</v>
      </c>
      <c r="O311" s="29">
        <v>0.5</v>
      </c>
      <c r="P311" s="30">
        <v>7</v>
      </c>
      <c r="Q311" s="30">
        <v>99999999</v>
      </c>
      <c r="R311" s="31">
        <v>43</v>
      </c>
    </row>
    <row r="312" spans="1:18" x14ac:dyDescent="0.3">
      <c r="A312" s="32">
        <v>124</v>
      </c>
      <c r="B312" s="33" t="s">
        <v>55</v>
      </c>
      <c r="C312" s="33" t="s">
        <v>23</v>
      </c>
      <c r="D312" s="33" t="s">
        <v>20</v>
      </c>
      <c r="E312" s="33">
        <v>261.56974079999901</v>
      </c>
      <c r="F312" s="34">
        <v>60000</v>
      </c>
      <c r="G312" s="34">
        <v>10000</v>
      </c>
      <c r="H312" s="33">
        <v>379.67737249999999</v>
      </c>
      <c r="I312" s="34">
        <v>9587</v>
      </c>
      <c r="J312" s="34">
        <v>413</v>
      </c>
      <c r="K312" s="33">
        <v>0.9587</v>
      </c>
      <c r="L312" s="33">
        <v>0.95838382620946605</v>
      </c>
      <c r="M312" s="33">
        <v>0.95825637581524203</v>
      </c>
      <c r="N312" s="33">
        <v>0.95828401338125402</v>
      </c>
      <c r="O312" s="33">
        <v>0.5</v>
      </c>
      <c r="P312" s="34">
        <v>7</v>
      </c>
      <c r="Q312" s="34">
        <v>99999999</v>
      </c>
      <c r="R312" s="35">
        <v>784</v>
      </c>
    </row>
    <row r="313" spans="1:18" x14ac:dyDescent="0.3">
      <c r="A313" s="32">
        <v>140</v>
      </c>
      <c r="B313" s="33" t="s">
        <v>55</v>
      </c>
      <c r="C313" s="33" t="s">
        <v>23</v>
      </c>
      <c r="D313" s="33" t="s">
        <v>26</v>
      </c>
      <c r="E313" s="33">
        <v>39.474538599999498</v>
      </c>
      <c r="F313" s="34">
        <v>60000</v>
      </c>
      <c r="G313" s="34">
        <v>10000</v>
      </c>
      <c r="H313" s="33">
        <v>77.520197199999501</v>
      </c>
      <c r="I313" s="34">
        <v>9204</v>
      </c>
      <c r="J313" s="34">
        <v>796</v>
      </c>
      <c r="K313" s="33">
        <v>0.9204</v>
      </c>
      <c r="L313" s="33">
        <v>0.91966437242605203</v>
      </c>
      <c r="M313" s="33">
        <v>0.91900679142373798</v>
      </c>
      <c r="N313" s="33">
        <v>0.91919313418556603</v>
      </c>
      <c r="O313" s="33">
        <v>0.228580506497157</v>
      </c>
      <c r="P313" s="34">
        <v>7</v>
      </c>
      <c r="Q313" s="34">
        <v>99999999</v>
      </c>
      <c r="R313" s="35">
        <v>43</v>
      </c>
    </row>
    <row r="314" spans="1:18" x14ac:dyDescent="0.3">
      <c r="A314" s="32">
        <v>132</v>
      </c>
      <c r="B314" s="33" t="s">
        <v>55</v>
      </c>
      <c r="C314" s="33" t="s">
        <v>23</v>
      </c>
      <c r="D314" s="33" t="s">
        <v>25</v>
      </c>
      <c r="E314" s="33">
        <v>12.064184999999201</v>
      </c>
      <c r="F314" s="34">
        <v>60000</v>
      </c>
      <c r="G314" s="34">
        <v>10000</v>
      </c>
      <c r="H314" s="33">
        <v>35.517968600000998</v>
      </c>
      <c r="I314" s="34">
        <v>9103</v>
      </c>
      <c r="J314" s="34">
        <v>897</v>
      </c>
      <c r="K314" s="33">
        <v>0.9103</v>
      </c>
      <c r="L314" s="33">
        <v>0.90911244801570601</v>
      </c>
      <c r="M314" s="33">
        <v>0.90918429129471601</v>
      </c>
      <c r="N314" s="33">
        <v>0.90903474892328695</v>
      </c>
      <c r="O314" s="33">
        <v>0.5</v>
      </c>
      <c r="P314" s="34">
        <v>7</v>
      </c>
      <c r="Q314" s="34">
        <v>99999999</v>
      </c>
      <c r="R314" s="35">
        <v>9</v>
      </c>
    </row>
    <row r="315" spans="1:18" x14ac:dyDescent="0.3">
      <c r="A315" s="32">
        <v>128</v>
      </c>
      <c r="B315" s="33" t="s">
        <v>55</v>
      </c>
      <c r="C315" s="33" t="s">
        <v>23</v>
      </c>
      <c r="D315" s="33" t="s">
        <v>24</v>
      </c>
      <c r="E315" s="33">
        <v>29.437313300000799</v>
      </c>
      <c r="F315" s="34">
        <v>60000</v>
      </c>
      <c r="G315" s="34">
        <v>10000</v>
      </c>
      <c r="H315" s="33">
        <v>56.571949900000597</v>
      </c>
      <c r="I315" s="34">
        <v>9666</v>
      </c>
      <c r="J315" s="34">
        <v>334</v>
      </c>
      <c r="K315" s="33">
        <v>0.96660000000000001</v>
      </c>
      <c r="L315" s="33">
        <v>0.96649254709764998</v>
      </c>
      <c r="M315" s="33">
        <v>0.96621718532577106</v>
      </c>
      <c r="N315" s="33">
        <v>0.966327529522781</v>
      </c>
      <c r="O315" s="33">
        <v>0.5</v>
      </c>
      <c r="P315" s="34">
        <v>7</v>
      </c>
      <c r="Q315" s="34">
        <v>99999999</v>
      </c>
      <c r="R315" s="35">
        <v>43</v>
      </c>
    </row>
    <row r="316" spans="1:18" x14ac:dyDescent="0.3">
      <c r="A316" s="32">
        <v>24</v>
      </c>
      <c r="B316" s="33" t="s">
        <v>55</v>
      </c>
      <c r="C316" s="33" t="s">
        <v>23</v>
      </c>
      <c r="D316" s="33" t="s">
        <v>39</v>
      </c>
      <c r="E316" s="33">
        <v>85.034917799988705</v>
      </c>
      <c r="F316" s="34">
        <v>60000</v>
      </c>
      <c r="G316" s="34">
        <v>10000</v>
      </c>
      <c r="H316" s="33">
        <v>223.33118109998699</v>
      </c>
      <c r="I316" s="34">
        <v>7111</v>
      </c>
      <c r="J316" s="34">
        <v>2889</v>
      </c>
      <c r="K316" s="33">
        <v>0.71109999999999995</v>
      </c>
      <c r="L316" s="33">
        <v>0.72822335468899702</v>
      </c>
      <c r="M316" s="33">
        <v>0.70595367354160699</v>
      </c>
      <c r="N316" s="33">
        <v>0.70298127410209499</v>
      </c>
      <c r="O316" s="33">
        <v>0.5</v>
      </c>
      <c r="P316" s="34">
        <v>7</v>
      </c>
      <c r="Q316" s="34">
        <v>99999999</v>
      </c>
      <c r="R316" s="35">
        <v>43</v>
      </c>
    </row>
    <row r="317" spans="1:18" x14ac:dyDescent="0.3">
      <c r="A317" s="21">
        <v>122</v>
      </c>
      <c r="B317" s="37" t="s">
        <v>55</v>
      </c>
      <c r="C317" s="37" t="s">
        <v>21</v>
      </c>
      <c r="D317" s="37" t="s">
        <v>20</v>
      </c>
      <c r="E317" s="37">
        <v>19.068065699999298</v>
      </c>
      <c r="F317" s="22">
        <v>60000</v>
      </c>
      <c r="G317" s="22">
        <v>10000</v>
      </c>
      <c r="H317" s="37">
        <v>30.9196640999998</v>
      </c>
      <c r="I317" s="22">
        <v>9499</v>
      </c>
      <c r="J317" s="22">
        <v>501</v>
      </c>
      <c r="K317" s="37">
        <v>0.94989999999999997</v>
      </c>
      <c r="L317" s="37">
        <v>0.94957603725666295</v>
      </c>
      <c r="M317" s="37">
        <v>0.94955267712049896</v>
      </c>
      <c r="N317" s="37">
        <v>0.94953421679664995</v>
      </c>
      <c r="O317" s="37">
        <v>0.5</v>
      </c>
      <c r="P317" s="22">
        <v>7</v>
      </c>
      <c r="Q317" s="22">
        <v>99999999</v>
      </c>
      <c r="R317" s="23">
        <v>784</v>
      </c>
    </row>
    <row r="318" spans="1:18" x14ac:dyDescent="0.3">
      <c r="A318" s="32">
        <v>138</v>
      </c>
      <c r="B318" s="33" t="s">
        <v>55</v>
      </c>
      <c r="C318" s="33" t="s">
        <v>21</v>
      </c>
      <c r="D318" s="33" t="s">
        <v>26</v>
      </c>
      <c r="E318" s="33">
        <v>2.9820851000004001</v>
      </c>
      <c r="F318" s="34">
        <v>60000</v>
      </c>
      <c r="G318" s="34">
        <v>10000</v>
      </c>
      <c r="H318" s="33">
        <v>14.2197218000001</v>
      </c>
      <c r="I318" s="34">
        <v>9269</v>
      </c>
      <c r="J318" s="34">
        <v>731</v>
      </c>
      <c r="K318" s="33">
        <v>0.92689999999999995</v>
      </c>
      <c r="L318" s="33">
        <v>0.92613767463233698</v>
      </c>
      <c r="M318" s="33">
        <v>0.92582766589245402</v>
      </c>
      <c r="N318" s="33">
        <v>0.92592551646557297</v>
      </c>
      <c r="O318" s="33">
        <v>0.228580506497157</v>
      </c>
      <c r="P318" s="34">
        <v>7</v>
      </c>
      <c r="Q318" s="34">
        <v>99999999</v>
      </c>
      <c r="R318" s="35">
        <v>43</v>
      </c>
    </row>
    <row r="319" spans="1:18" x14ac:dyDescent="0.3">
      <c r="A319" s="32">
        <v>130</v>
      </c>
      <c r="B319" s="33" t="s">
        <v>55</v>
      </c>
      <c r="C319" s="33" t="s">
        <v>21</v>
      </c>
      <c r="D319" s="33" t="s">
        <v>25</v>
      </c>
      <c r="E319" s="33">
        <v>2.4125463999989698</v>
      </c>
      <c r="F319" s="34">
        <v>60000</v>
      </c>
      <c r="G319" s="34">
        <v>10000</v>
      </c>
      <c r="H319" s="33">
        <v>12.792183800000201</v>
      </c>
      <c r="I319" s="34">
        <v>9021</v>
      </c>
      <c r="J319" s="34">
        <v>979</v>
      </c>
      <c r="K319" s="33">
        <v>0.90210000000000001</v>
      </c>
      <c r="L319" s="33">
        <v>0.90086343449753004</v>
      </c>
      <c r="M319" s="33">
        <v>0.90083352886972601</v>
      </c>
      <c r="N319" s="33">
        <v>0.90076914804790797</v>
      </c>
      <c r="O319" s="33">
        <v>0.5</v>
      </c>
      <c r="P319" s="34">
        <v>7</v>
      </c>
      <c r="Q319" s="34">
        <v>99999999</v>
      </c>
      <c r="R319" s="35">
        <v>9</v>
      </c>
    </row>
    <row r="320" spans="1:18" x14ac:dyDescent="0.3">
      <c r="A320" s="32">
        <v>126</v>
      </c>
      <c r="B320" s="33" t="s">
        <v>55</v>
      </c>
      <c r="C320" s="33" t="s">
        <v>21</v>
      </c>
      <c r="D320" s="33" t="s">
        <v>24</v>
      </c>
      <c r="E320" s="33">
        <v>5.79144950000045</v>
      </c>
      <c r="F320" s="34">
        <v>60000</v>
      </c>
      <c r="G320" s="34">
        <v>10000</v>
      </c>
      <c r="H320" s="33">
        <v>13.415183399998501</v>
      </c>
      <c r="I320" s="34">
        <v>9148</v>
      </c>
      <c r="J320" s="34">
        <v>852</v>
      </c>
      <c r="K320" s="33">
        <v>0.91479999999999995</v>
      </c>
      <c r="L320" s="33">
        <v>0.91376193640060099</v>
      </c>
      <c r="M320" s="33">
        <v>0.91365168250087403</v>
      </c>
      <c r="N320" s="33">
        <v>0.91362014096158395</v>
      </c>
      <c r="O320" s="33">
        <v>0.5</v>
      </c>
      <c r="P320" s="34">
        <v>7</v>
      </c>
      <c r="Q320" s="34">
        <v>99999999</v>
      </c>
      <c r="R320" s="35">
        <v>43</v>
      </c>
    </row>
    <row r="321" spans="1:18" x14ac:dyDescent="0.3">
      <c r="A321" s="21">
        <v>22</v>
      </c>
      <c r="B321" s="37" t="s">
        <v>55</v>
      </c>
      <c r="C321" s="37" t="s">
        <v>21</v>
      </c>
      <c r="D321" s="37" t="s">
        <v>39</v>
      </c>
      <c r="E321" s="37">
        <v>4.7214450000319603</v>
      </c>
      <c r="F321" s="22">
        <v>60000</v>
      </c>
      <c r="G321" s="22">
        <v>10000</v>
      </c>
      <c r="H321" s="37">
        <v>111.285740700026</v>
      </c>
      <c r="I321" s="22">
        <v>7741</v>
      </c>
      <c r="J321" s="22">
        <v>2259</v>
      </c>
      <c r="K321" s="37">
        <v>0.77410000000000001</v>
      </c>
      <c r="L321" s="37">
        <v>0.78285771706396301</v>
      </c>
      <c r="M321" s="37">
        <v>0.77124515302392405</v>
      </c>
      <c r="N321" s="37">
        <v>0.77209763506543905</v>
      </c>
      <c r="O321" s="37">
        <v>0.5</v>
      </c>
      <c r="P321" s="22">
        <v>7</v>
      </c>
      <c r="Q321" s="22">
        <v>99999999</v>
      </c>
      <c r="R321" s="23">
        <v>43</v>
      </c>
    </row>
  </sheetData>
  <sortState xmlns:xlrd2="http://schemas.microsoft.com/office/spreadsheetml/2017/richdata2" ref="A2:R321">
    <sortCondition ref="B2:B321"/>
    <sortCondition ref="C2:C321"/>
    <sortCondition ref="D2:D32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66E4F-D801-473F-94AE-EC4C6F1E3230}">
  <dimension ref="A1:K336"/>
  <sheetViews>
    <sheetView tabSelected="1" topLeftCell="A232" workbookViewId="0">
      <selection activeCell="J239" sqref="J239"/>
    </sheetView>
  </sheetViews>
  <sheetFormatPr defaultRowHeight="14.4" x14ac:dyDescent="0.3"/>
  <cols>
    <col min="1" max="1" width="33.44140625" customWidth="1"/>
    <col min="6" max="6" width="20.33203125" bestFit="1" customWidth="1"/>
    <col min="7" max="7" width="16.5546875" bestFit="1" customWidth="1"/>
    <col min="8" max="8" width="8.6640625" bestFit="1" customWidth="1"/>
    <col min="9" max="11" width="7" bestFit="1" customWidth="1"/>
    <col min="12" max="12" width="13.5546875" bestFit="1" customWidth="1"/>
    <col min="13" max="13" width="8.88671875" bestFit="1" customWidth="1"/>
    <col min="14" max="15" width="7" bestFit="1" customWidth="1"/>
    <col min="16" max="16" width="26.77734375" bestFit="1" customWidth="1"/>
    <col min="17" max="17" width="23.6640625" bestFit="1" customWidth="1"/>
    <col min="18" max="18" width="8.88671875" bestFit="1" customWidth="1"/>
    <col min="19" max="19" width="6" bestFit="1" customWidth="1"/>
    <col min="20" max="20" width="7" bestFit="1" customWidth="1"/>
    <col min="21" max="21" width="27.6640625" bestFit="1" customWidth="1"/>
    <col min="22" max="22" width="12.21875" bestFit="1" customWidth="1"/>
    <col min="23" max="23" width="8.88671875" bestFit="1" customWidth="1"/>
    <col min="24" max="25" width="7" bestFit="1" customWidth="1"/>
    <col min="26" max="26" width="13.88671875" bestFit="1" customWidth="1"/>
    <col min="27" max="27" width="14" bestFit="1" customWidth="1"/>
    <col min="28" max="28" width="7" bestFit="1" customWidth="1"/>
    <col min="29" max="29" width="13.33203125" bestFit="1" customWidth="1"/>
    <col min="30" max="30" width="13.5546875" bestFit="1" customWidth="1"/>
  </cols>
  <sheetData>
    <row r="1" spans="1:11" x14ac:dyDescent="0.3">
      <c r="A1" t="s">
        <v>32</v>
      </c>
      <c r="B1" t="s">
        <v>38</v>
      </c>
      <c r="C1" t="s">
        <v>33</v>
      </c>
      <c r="D1" t="s">
        <v>34</v>
      </c>
    </row>
    <row r="2" spans="1:11" x14ac:dyDescent="0.3">
      <c r="A2" t="str">
        <f>'Dane corrupted'!B2</f>
        <v>MNIST-C (Brightness)</v>
      </c>
      <c r="B2" t="str">
        <f>'Dane corrupted'!C2</f>
        <v>K-Nearest Neighbors</v>
      </c>
      <c r="C2" t="str">
        <f>'Dane corrupted'!D2</f>
        <v>Brak redukcji</v>
      </c>
      <c r="D2">
        <f>'Dane corrupted'!K2</f>
        <v>0.96250000000000002</v>
      </c>
      <c r="F2" t="s">
        <v>37</v>
      </c>
      <c r="G2" t="s">
        <v>35</v>
      </c>
    </row>
    <row r="3" spans="1:11" x14ac:dyDescent="0.3">
      <c r="A3" t="str">
        <f>'Dane corrupted'!B3</f>
        <v>MNIST-C (Brightness)</v>
      </c>
      <c r="B3" t="str">
        <f>'Dane corrupted'!C3</f>
        <v>K-Nearest Neighbors</v>
      </c>
      <c r="C3" t="str">
        <f>'Dane corrupted'!D3</f>
        <v>Flood Fill</v>
      </c>
      <c r="D3">
        <f>'Dane corrupted'!K3</f>
        <v>9.8000000000000004E-2</v>
      </c>
      <c r="F3" t="s">
        <v>36</v>
      </c>
      <c r="G3" t="s">
        <v>20</v>
      </c>
      <c r="H3" t="s">
        <v>26</v>
      </c>
      <c r="I3" t="s">
        <v>25</v>
      </c>
      <c r="J3" t="s">
        <v>24</v>
      </c>
      <c r="K3" t="s">
        <v>39</v>
      </c>
    </row>
    <row r="4" spans="1:11" x14ac:dyDescent="0.3">
      <c r="A4" t="str">
        <f>'Dane corrupted'!B4</f>
        <v>MNIST-C (Brightness)</v>
      </c>
      <c r="B4" t="str">
        <f>'Dane corrupted'!C4</f>
        <v>K-Nearest Neighbors</v>
      </c>
      <c r="C4" t="str">
        <f>'Dane corrupted'!D4</f>
        <v>LDA</v>
      </c>
      <c r="D4">
        <f>'Dane corrupted'!K4</f>
        <v>0.91690000000000005</v>
      </c>
      <c r="F4" s="2" t="s">
        <v>19</v>
      </c>
      <c r="G4" s="38">
        <v>0.97140000000000004</v>
      </c>
      <c r="H4" s="38">
        <v>0.96099999999999997</v>
      </c>
      <c r="I4" s="38">
        <v>0.95489999999999997</v>
      </c>
      <c r="J4" s="38">
        <v>0.9829</v>
      </c>
      <c r="K4" s="38">
        <v>0.97160000000000002</v>
      </c>
    </row>
    <row r="5" spans="1:11" x14ac:dyDescent="0.3">
      <c r="A5" t="str">
        <f>'Dane corrupted'!B5</f>
        <v>MNIST-C (Brightness)</v>
      </c>
      <c r="B5" t="str">
        <f>'Dane corrupted'!C5</f>
        <v>K-Nearest Neighbors</v>
      </c>
      <c r="C5" t="str">
        <f>'Dane corrupted'!D5</f>
        <v>PCA</v>
      </c>
      <c r="D5">
        <f>'Dane corrupted'!K5</f>
        <v>0.9748</v>
      </c>
      <c r="F5" s="2" t="s">
        <v>22</v>
      </c>
      <c r="G5" s="38">
        <v>0.98099999999999998</v>
      </c>
      <c r="H5" s="38">
        <v>0.98050000000000004</v>
      </c>
      <c r="I5" s="38">
        <v>0.95150000000000001</v>
      </c>
      <c r="J5" s="38">
        <v>0.98380000000000001</v>
      </c>
      <c r="K5" s="38">
        <v>0.97070000000000001</v>
      </c>
    </row>
    <row r="6" spans="1:11" x14ac:dyDescent="0.3">
      <c r="A6" t="str">
        <f>'Dane corrupted'!B6</f>
        <v>MNIST-C (Brightness)</v>
      </c>
      <c r="B6" t="str">
        <f>'Dane corrupted'!C6</f>
        <v>K-Nearest Neighbors</v>
      </c>
      <c r="C6" t="str">
        <f>'Dane corrupted'!D6</f>
        <v>UMAP</v>
      </c>
      <c r="D6">
        <f>'Dane corrupted'!K6</f>
        <v>0.95830000000000004</v>
      </c>
      <c r="F6" s="2" t="s">
        <v>23</v>
      </c>
      <c r="G6" s="38">
        <v>0.98129999999999995</v>
      </c>
      <c r="H6" s="38">
        <v>0.97019999999999995</v>
      </c>
      <c r="I6" s="38">
        <v>0.95479999999999998</v>
      </c>
      <c r="J6" s="38">
        <v>0.9839</v>
      </c>
      <c r="K6" s="38">
        <v>0.97050000000000003</v>
      </c>
    </row>
    <row r="7" spans="1:11" x14ac:dyDescent="0.3">
      <c r="A7" t="str">
        <f>'Dane corrupted'!B7</f>
        <v>MNIST-C (Brightness)</v>
      </c>
      <c r="B7" t="str">
        <f>'Dane corrupted'!C7</f>
        <v>Multi-Layer Perceptron</v>
      </c>
      <c r="C7" t="str">
        <f>'Dane corrupted'!D7</f>
        <v>Brak redukcji</v>
      </c>
      <c r="D7">
        <f>'Dane corrupted'!K7</f>
        <v>0.97670000000000001</v>
      </c>
      <c r="F7" s="2" t="s">
        <v>21</v>
      </c>
      <c r="G7" s="38">
        <v>0.97250000000000003</v>
      </c>
      <c r="H7" s="38">
        <v>0.97940000000000005</v>
      </c>
      <c r="I7" s="38">
        <v>0.95299999999999996</v>
      </c>
      <c r="J7" s="38">
        <v>0.97489999999999999</v>
      </c>
      <c r="K7" s="38">
        <v>0.97109999999999996</v>
      </c>
    </row>
    <row r="8" spans="1:11" x14ac:dyDescent="0.3">
      <c r="A8" t="str">
        <f>'Dane corrupted'!B8</f>
        <v>MNIST-C (Brightness)</v>
      </c>
      <c r="B8" t="str">
        <f>'Dane corrupted'!C8</f>
        <v>Multi-Layer Perceptron</v>
      </c>
      <c r="C8" t="str">
        <f>'Dane corrupted'!D8</f>
        <v>Flood Fill</v>
      </c>
      <c r="D8">
        <f>'Dane corrupted'!K8</f>
        <v>0.1135</v>
      </c>
    </row>
    <row r="9" spans="1:11" x14ac:dyDescent="0.3">
      <c r="A9" t="str">
        <f>'Dane corrupted'!B9</f>
        <v>MNIST-C (Brightness)</v>
      </c>
      <c r="B9" t="str">
        <f>'Dane corrupted'!C9</f>
        <v>Multi-Layer Perceptron</v>
      </c>
      <c r="C9" t="str">
        <f>'Dane corrupted'!D9</f>
        <v>LDA</v>
      </c>
      <c r="D9">
        <f>'Dane corrupted'!K9</f>
        <v>0.90600000000000003</v>
      </c>
    </row>
    <row r="10" spans="1:11" x14ac:dyDescent="0.3">
      <c r="A10" t="str">
        <f>'Dane corrupted'!B10</f>
        <v>MNIST-C (Brightness)</v>
      </c>
      <c r="B10" t="str">
        <f>'Dane corrupted'!C10</f>
        <v>Multi-Layer Perceptron</v>
      </c>
      <c r="C10" t="str">
        <f>'Dane corrupted'!D10</f>
        <v>PCA</v>
      </c>
      <c r="D10">
        <f>'Dane corrupted'!K10</f>
        <v>0.98229999999999995</v>
      </c>
    </row>
    <row r="11" spans="1:11" x14ac:dyDescent="0.3">
      <c r="A11" t="str">
        <f>'Dane corrupted'!B11</f>
        <v>MNIST-C (Brightness)</v>
      </c>
      <c r="B11" t="str">
        <f>'Dane corrupted'!C11</f>
        <v>Multi-Layer Perceptron</v>
      </c>
      <c r="C11" t="str">
        <f>'Dane corrupted'!D11</f>
        <v>UMAP</v>
      </c>
      <c r="D11">
        <f>'Dane corrupted'!K11</f>
        <v>0.95720000000000005</v>
      </c>
    </row>
    <row r="12" spans="1:11" x14ac:dyDescent="0.3">
      <c r="A12" t="str">
        <f>'Dane corrupted'!B12</f>
        <v>MNIST-C (Brightness)</v>
      </c>
      <c r="B12" t="str">
        <f>'Dane corrupted'!C12</f>
        <v>Support Vector Machine</v>
      </c>
      <c r="C12" t="str">
        <f>'Dane corrupted'!D12</f>
        <v>Brak redukcji</v>
      </c>
      <c r="D12">
        <f>'Dane corrupted'!K12</f>
        <v>0.97560000000000002</v>
      </c>
    </row>
    <row r="13" spans="1:11" x14ac:dyDescent="0.3">
      <c r="A13" t="str">
        <f>'Dane corrupted'!B13</f>
        <v>MNIST-C (Brightness)</v>
      </c>
      <c r="B13" t="str">
        <f>'Dane corrupted'!C13</f>
        <v>Support Vector Machine</v>
      </c>
      <c r="C13" t="str">
        <f>'Dane corrupted'!D13</f>
        <v>Flood Fill</v>
      </c>
      <c r="D13">
        <f>'Dane corrupted'!K13</f>
        <v>0.1135</v>
      </c>
    </row>
    <row r="14" spans="1:11" x14ac:dyDescent="0.3">
      <c r="A14" t="str">
        <f>'Dane corrupted'!B14</f>
        <v>MNIST-C (Brightness)</v>
      </c>
      <c r="B14" t="str">
        <f>'Dane corrupted'!C14</f>
        <v>Support Vector Machine</v>
      </c>
      <c r="C14" t="str">
        <f>'Dane corrupted'!D14</f>
        <v>LDA</v>
      </c>
      <c r="D14">
        <f>'Dane corrupted'!K14</f>
        <v>0.92049999999999998</v>
      </c>
    </row>
    <row r="15" spans="1:11" x14ac:dyDescent="0.3">
      <c r="A15" t="str">
        <f>'Dane corrupted'!B15</f>
        <v>MNIST-C (Brightness)</v>
      </c>
      <c r="B15" t="str">
        <f>'Dane corrupted'!C15</f>
        <v>Support Vector Machine</v>
      </c>
      <c r="C15" t="str">
        <f>'Dane corrupted'!D15</f>
        <v>PCA</v>
      </c>
      <c r="D15">
        <f>'Dane corrupted'!K15</f>
        <v>0.98370000000000002</v>
      </c>
    </row>
    <row r="16" spans="1:11" x14ac:dyDescent="0.3">
      <c r="A16" t="str">
        <f>'Dane corrupted'!B16</f>
        <v>MNIST-C (Brightness)</v>
      </c>
      <c r="B16" t="str">
        <f>'Dane corrupted'!C16</f>
        <v>Support Vector Machine</v>
      </c>
      <c r="C16" t="str">
        <f>'Dane corrupted'!D16</f>
        <v>UMAP</v>
      </c>
      <c r="D16">
        <f>'Dane corrupted'!K16</f>
        <v>0.95669999999999999</v>
      </c>
    </row>
    <row r="17" spans="1:11" x14ac:dyDescent="0.3">
      <c r="A17" t="str">
        <f>'Dane corrupted'!B17</f>
        <v>MNIST-C (Brightness)</v>
      </c>
      <c r="B17" t="str">
        <f>'Dane corrupted'!C17</f>
        <v>XGBoost</v>
      </c>
      <c r="C17" t="str">
        <f>'Dane corrupted'!D17</f>
        <v>Brak redukcji</v>
      </c>
      <c r="D17">
        <f>'Dane corrupted'!K17</f>
        <v>0.96960000000000002</v>
      </c>
    </row>
    <row r="18" spans="1:11" x14ac:dyDescent="0.3">
      <c r="A18" t="str">
        <f>'Dane corrupted'!B18</f>
        <v>MNIST-C (Brightness)</v>
      </c>
      <c r="B18" t="str">
        <f>'Dane corrupted'!C18</f>
        <v>XGBoost</v>
      </c>
      <c r="C18" t="str">
        <f>'Dane corrupted'!D18</f>
        <v>Flood Fill</v>
      </c>
      <c r="D18">
        <f>'Dane corrupted'!K18</f>
        <v>0.1135</v>
      </c>
    </row>
    <row r="19" spans="1:11" x14ac:dyDescent="0.3">
      <c r="A19" t="str">
        <f>'Dane corrupted'!B19</f>
        <v>MNIST-C (Brightness)</v>
      </c>
      <c r="B19" t="str">
        <f>'Dane corrupted'!C19</f>
        <v>XGBoost</v>
      </c>
      <c r="C19" t="str">
        <f>'Dane corrupted'!D19</f>
        <v>LDA</v>
      </c>
      <c r="D19">
        <f>'Dane corrupted'!K19</f>
        <v>0.91539999999999999</v>
      </c>
    </row>
    <row r="20" spans="1:11" x14ac:dyDescent="0.3">
      <c r="A20" t="str">
        <f>'Dane corrupted'!B20</f>
        <v>MNIST-C (Brightness)</v>
      </c>
      <c r="B20" t="str">
        <f>'Dane corrupted'!C20</f>
        <v>XGBoost</v>
      </c>
      <c r="C20" t="str">
        <f>'Dane corrupted'!D20</f>
        <v>PCA</v>
      </c>
      <c r="D20">
        <f>'Dane corrupted'!K20</f>
        <v>0.95730000000000004</v>
      </c>
    </row>
    <row r="21" spans="1:11" x14ac:dyDescent="0.3">
      <c r="A21" t="str">
        <f>'Dane corrupted'!B21</f>
        <v>MNIST-C (Brightness)</v>
      </c>
      <c r="B21" t="str">
        <f>'Dane corrupted'!C21</f>
        <v>XGBoost</v>
      </c>
      <c r="C21" t="str">
        <f>'Dane corrupted'!D21</f>
        <v>UMAP</v>
      </c>
      <c r="D21">
        <f>'Dane corrupted'!K21</f>
        <v>0.95860000000000001</v>
      </c>
    </row>
    <row r="22" spans="1:11" x14ac:dyDescent="0.3">
      <c r="A22" t="s">
        <v>32</v>
      </c>
      <c r="B22" t="s">
        <v>38</v>
      </c>
      <c r="C22" t="s">
        <v>33</v>
      </c>
      <c r="D22" t="s">
        <v>34</v>
      </c>
      <c r="F22" s="1" t="s">
        <v>37</v>
      </c>
      <c r="G22" s="1" t="s">
        <v>35</v>
      </c>
    </row>
    <row r="23" spans="1:11" x14ac:dyDescent="0.3">
      <c r="A23" t="str">
        <f>'Dane corrupted'!B22</f>
        <v>MNIST-C (Canny Edges)</v>
      </c>
      <c r="B23" t="str">
        <f>'Dane corrupted'!C22</f>
        <v>K-Nearest Neighbors</v>
      </c>
      <c r="C23" t="str">
        <f>'Dane corrupted'!D22</f>
        <v>Brak redukcji</v>
      </c>
      <c r="D23">
        <f>'Dane corrupted'!K22</f>
        <v>0.90839999999999999</v>
      </c>
      <c r="F23" s="1" t="s">
        <v>36</v>
      </c>
      <c r="G23" t="s">
        <v>20</v>
      </c>
      <c r="H23" t="s">
        <v>26</v>
      </c>
      <c r="I23" t="s">
        <v>25</v>
      </c>
      <c r="J23" t="s">
        <v>24</v>
      </c>
      <c r="K23" t="s">
        <v>39</v>
      </c>
    </row>
    <row r="24" spans="1:11" x14ac:dyDescent="0.3">
      <c r="A24" t="str">
        <f>'Dane corrupted'!B23</f>
        <v>MNIST-C (Canny Edges)</v>
      </c>
      <c r="B24" t="str">
        <f>'Dane corrupted'!C23</f>
        <v>K-Nearest Neighbors</v>
      </c>
      <c r="C24" t="str">
        <f>'Dane corrupted'!D23</f>
        <v>Flood Fill</v>
      </c>
      <c r="D24">
        <f>'Dane corrupted'!K23</f>
        <v>0.94569999999999999</v>
      </c>
      <c r="F24" s="2" t="s">
        <v>19</v>
      </c>
      <c r="G24" s="38">
        <v>0.74696808510638302</v>
      </c>
      <c r="H24" s="38">
        <v>0.66239361702127597</v>
      </c>
      <c r="I24" s="38">
        <v>0.74457446808510597</v>
      </c>
      <c r="J24" s="38">
        <v>0.80702127659574396</v>
      </c>
      <c r="K24" s="38">
        <v>0.71845744680850998</v>
      </c>
    </row>
    <row r="25" spans="1:11" x14ac:dyDescent="0.3">
      <c r="A25" t="str">
        <f>'Dane corrupted'!B24</f>
        <v>MNIST-C (Canny Edges)</v>
      </c>
      <c r="B25" t="str">
        <f>'Dane corrupted'!C24</f>
        <v>K-Nearest Neighbors</v>
      </c>
      <c r="C25" t="str">
        <f>'Dane corrupted'!D24</f>
        <v>LDA</v>
      </c>
      <c r="D25">
        <f>'Dane corrupted'!K24</f>
        <v>0.87909999999999999</v>
      </c>
      <c r="F25" s="2" t="s">
        <v>22</v>
      </c>
      <c r="G25" s="38">
        <v>0.80053191489361697</v>
      </c>
      <c r="H25" s="38">
        <v>0.75952127659574398</v>
      </c>
      <c r="I25" s="38">
        <v>0.766436170212766</v>
      </c>
      <c r="J25" s="38">
        <v>0.82356382978723397</v>
      </c>
      <c r="K25" s="38">
        <v>0.71478723404255295</v>
      </c>
    </row>
    <row r="26" spans="1:11" x14ac:dyDescent="0.3">
      <c r="A26" t="str">
        <f>'Dane corrupted'!B25</f>
        <v>MNIST-C (Canny Edges)</v>
      </c>
      <c r="B26" t="str">
        <f>'Dane corrupted'!C25</f>
        <v>K-Nearest Neighbors</v>
      </c>
      <c r="C26" t="str">
        <f>'Dane corrupted'!D25</f>
        <v>PCA</v>
      </c>
      <c r="D26">
        <f>'Dane corrupted'!K25</f>
        <v>0.90059999999999996</v>
      </c>
      <c r="F26" s="2" t="s">
        <v>23</v>
      </c>
      <c r="G26" s="38">
        <v>0.827234042553191</v>
      </c>
      <c r="H26" s="38">
        <v>0.71526595744680799</v>
      </c>
      <c r="I26" s="38">
        <v>0.81101063829787201</v>
      </c>
      <c r="J26" s="38">
        <v>0.85079787234042503</v>
      </c>
      <c r="K26" s="38">
        <v>0.70382978723404199</v>
      </c>
    </row>
    <row r="27" spans="1:11" x14ac:dyDescent="0.3">
      <c r="A27" t="str">
        <f>'Dane corrupted'!B26</f>
        <v>MNIST-C (Canny Edges)</v>
      </c>
      <c r="B27" t="str">
        <f>'Dane corrupted'!C26</f>
        <v>K-Nearest Neighbors</v>
      </c>
      <c r="C27" t="str">
        <f>'Dane corrupted'!D26</f>
        <v>UMAP</v>
      </c>
      <c r="D27">
        <f>'Dane corrupted'!K26</f>
        <v>0.87170000000000003</v>
      </c>
      <c r="F27" s="2" t="s">
        <v>21</v>
      </c>
      <c r="G27" s="38">
        <v>0.77367021276595704</v>
      </c>
      <c r="H27" s="38">
        <v>0.75042553191489303</v>
      </c>
      <c r="I27" s="38">
        <v>0.73856382978723401</v>
      </c>
      <c r="J27" s="38">
        <v>0.76265957446808497</v>
      </c>
      <c r="K27" s="38">
        <v>0.73941489361702095</v>
      </c>
    </row>
    <row r="28" spans="1:11" x14ac:dyDescent="0.3">
      <c r="A28" t="str">
        <f>'Dane corrupted'!B27</f>
        <v>MNIST-C (Canny Edges)</v>
      </c>
      <c r="B28" t="str">
        <f>'Dane corrupted'!C27</f>
        <v>Multi-Layer Perceptron</v>
      </c>
      <c r="C28" t="str">
        <f>'Dane corrupted'!D27</f>
        <v>Brak redukcji</v>
      </c>
      <c r="D28">
        <f>'Dane corrupted'!K27</f>
        <v>0.95750000000000002</v>
      </c>
    </row>
    <row r="29" spans="1:11" x14ac:dyDescent="0.3">
      <c r="A29" t="str">
        <f>'Dane corrupted'!B28</f>
        <v>MNIST-C (Canny Edges)</v>
      </c>
      <c r="B29" t="str">
        <f>'Dane corrupted'!C28</f>
        <v>Multi-Layer Perceptron</v>
      </c>
      <c r="C29" t="str">
        <f>'Dane corrupted'!D28</f>
        <v>Flood Fill</v>
      </c>
      <c r="D29">
        <f>'Dane corrupted'!K28</f>
        <v>0.9677</v>
      </c>
    </row>
    <row r="30" spans="1:11" x14ac:dyDescent="0.3">
      <c r="A30" t="str">
        <f>'Dane corrupted'!B29</f>
        <v>MNIST-C (Canny Edges)</v>
      </c>
      <c r="B30" t="str">
        <f>'Dane corrupted'!C29</f>
        <v>Multi-Layer Perceptron</v>
      </c>
      <c r="C30" t="str">
        <f>'Dane corrupted'!D29</f>
        <v>LDA</v>
      </c>
      <c r="D30">
        <f>'Dane corrupted'!K29</f>
        <v>0.85699999999999998</v>
      </c>
    </row>
    <row r="31" spans="1:11" x14ac:dyDescent="0.3">
      <c r="A31" t="str">
        <f>'Dane corrupted'!B30</f>
        <v>MNIST-C (Canny Edges)</v>
      </c>
      <c r="B31" t="str">
        <f>'Dane corrupted'!C30</f>
        <v>Multi-Layer Perceptron</v>
      </c>
      <c r="C31" t="str">
        <f>'Dane corrupted'!D30</f>
        <v>PCA</v>
      </c>
      <c r="D31">
        <f>'Dane corrupted'!K30</f>
        <v>0.94130000000000003</v>
      </c>
    </row>
    <row r="32" spans="1:11" x14ac:dyDescent="0.3">
      <c r="A32" t="str">
        <f>'Dane corrupted'!B31</f>
        <v>MNIST-C (Canny Edges)</v>
      </c>
      <c r="B32" t="str">
        <f>'Dane corrupted'!C31</f>
        <v>Multi-Layer Perceptron</v>
      </c>
      <c r="C32" t="str">
        <f>'Dane corrupted'!D31</f>
        <v>UMAP</v>
      </c>
      <c r="D32">
        <f>'Dane corrupted'!K31</f>
        <v>0.85140000000000005</v>
      </c>
    </row>
    <row r="33" spans="1:11" x14ac:dyDescent="0.3">
      <c r="A33" t="str">
        <f>'Dane corrupted'!B32</f>
        <v>MNIST-C (Canny Edges)</v>
      </c>
      <c r="B33" t="str">
        <f>'Dane corrupted'!C32</f>
        <v>Support Vector Machine</v>
      </c>
      <c r="C33" t="str">
        <f>'Dane corrupted'!D32</f>
        <v>Brak redukcji</v>
      </c>
      <c r="D33">
        <f>'Dane corrupted'!K32</f>
        <v>0.95509999999999995</v>
      </c>
    </row>
    <row r="34" spans="1:11" x14ac:dyDescent="0.3">
      <c r="A34" t="str">
        <f>'Dane corrupted'!B33</f>
        <v>MNIST-C (Canny Edges)</v>
      </c>
      <c r="B34" t="str">
        <f>'Dane corrupted'!C33</f>
        <v>Support Vector Machine</v>
      </c>
      <c r="C34" t="str">
        <f>'Dane corrupted'!D33</f>
        <v>Flood Fill</v>
      </c>
      <c r="D34">
        <f>'Dane corrupted'!K33</f>
        <v>0.95589999999999997</v>
      </c>
    </row>
    <row r="35" spans="1:11" x14ac:dyDescent="0.3">
      <c r="A35" t="str">
        <f>'Dane corrupted'!B34</f>
        <v>MNIST-C (Canny Edges)</v>
      </c>
      <c r="B35" t="str">
        <f>'Dane corrupted'!C34</f>
        <v>Support Vector Machine</v>
      </c>
      <c r="C35" t="str">
        <f>'Dane corrupted'!D34</f>
        <v>LDA</v>
      </c>
      <c r="D35">
        <f>'Dane corrupted'!K34</f>
        <v>0.8861</v>
      </c>
    </row>
    <row r="36" spans="1:11" x14ac:dyDescent="0.3">
      <c r="A36" t="str">
        <f>'Dane corrupted'!B35</f>
        <v>MNIST-C (Canny Edges)</v>
      </c>
      <c r="B36" t="str">
        <f>'Dane corrupted'!C35</f>
        <v>Support Vector Machine</v>
      </c>
      <c r="C36" t="str">
        <f>'Dane corrupted'!D35</f>
        <v>PCA</v>
      </c>
      <c r="D36">
        <f>'Dane corrupted'!K35</f>
        <v>0.93759999999999999</v>
      </c>
    </row>
    <row r="37" spans="1:11" x14ac:dyDescent="0.3">
      <c r="A37" t="str">
        <f>'Dane corrupted'!B36</f>
        <v>MNIST-C (Canny Edges)</v>
      </c>
      <c r="B37" t="str">
        <f>'Dane corrupted'!C36</f>
        <v>Support Vector Machine</v>
      </c>
      <c r="C37" t="str">
        <f>'Dane corrupted'!D36</f>
        <v>UMAP</v>
      </c>
      <c r="D37">
        <f>'Dane corrupted'!K36</f>
        <v>0.86509999999999998</v>
      </c>
    </row>
    <row r="38" spans="1:11" x14ac:dyDescent="0.3">
      <c r="A38" t="str">
        <f>'Dane corrupted'!B37</f>
        <v>MNIST-C (Canny Edges)</v>
      </c>
      <c r="B38" t="str">
        <f>'Dane corrupted'!C37</f>
        <v>XGBoost</v>
      </c>
      <c r="C38" t="str">
        <f>'Dane corrupted'!D37</f>
        <v>Brak redukcji</v>
      </c>
      <c r="D38">
        <f>'Dane corrupted'!K37</f>
        <v>0.94420000000000004</v>
      </c>
    </row>
    <row r="39" spans="1:11" x14ac:dyDescent="0.3">
      <c r="A39" t="str">
        <f>'Dane corrupted'!B38</f>
        <v>MNIST-C (Canny Edges)</v>
      </c>
      <c r="B39" t="str">
        <f>'Dane corrupted'!C38</f>
        <v>XGBoost</v>
      </c>
      <c r="C39" t="str">
        <f>'Dane corrupted'!D38</f>
        <v>Flood Fill</v>
      </c>
      <c r="D39">
        <f>'Dane corrupted'!K38</f>
        <v>0.96279999999999999</v>
      </c>
    </row>
    <row r="40" spans="1:11" x14ac:dyDescent="0.3">
      <c r="A40" t="str">
        <f>'Dane corrupted'!B39</f>
        <v>MNIST-C (Canny Edges)</v>
      </c>
      <c r="B40" t="str">
        <f>'Dane corrupted'!C39</f>
        <v>XGBoost</v>
      </c>
      <c r="C40" t="str">
        <f>'Dane corrupted'!D39</f>
        <v>LDA</v>
      </c>
      <c r="D40">
        <f>'Dane corrupted'!K39</f>
        <v>0.87980000000000003</v>
      </c>
    </row>
    <row r="41" spans="1:11" x14ac:dyDescent="0.3">
      <c r="A41" t="str">
        <f>'Dane corrupted'!B40</f>
        <v>MNIST-C (Canny Edges)</v>
      </c>
      <c r="B41" t="str">
        <f>'Dane corrupted'!C40</f>
        <v>XGBoost</v>
      </c>
      <c r="C41" t="str">
        <f>'Dane corrupted'!D40</f>
        <v>PCA</v>
      </c>
      <c r="D41">
        <f>'Dane corrupted'!K40</f>
        <v>0.86280000000000001</v>
      </c>
    </row>
    <row r="42" spans="1:11" x14ac:dyDescent="0.3">
      <c r="A42" t="str">
        <f>'Dane corrupted'!B41</f>
        <v>MNIST-C (Canny Edges)</v>
      </c>
      <c r="B42" t="str">
        <f>'Dane corrupted'!C41</f>
        <v>XGBoost</v>
      </c>
      <c r="C42" t="str">
        <f>'Dane corrupted'!D41</f>
        <v>UMAP</v>
      </c>
      <c r="D42">
        <f>'Dane corrupted'!K41</f>
        <v>0.87739999999999996</v>
      </c>
      <c r="F42" s="1" t="s">
        <v>37</v>
      </c>
      <c r="G42" s="1" t="s">
        <v>35</v>
      </c>
    </row>
    <row r="43" spans="1:11" x14ac:dyDescent="0.3">
      <c r="A43" t="s">
        <v>32</v>
      </c>
      <c r="B43" t="s">
        <v>38</v>
      </c>
      <c r="C43" t="s">
        <v>33</v>
      </c>
      <c r="D43" t="s">
        <v>34</v>
      </c>
      <c r="F43" s="1" t="s">
        <v>36</v>
      </c>
      <c r="G43" t="s">
        <v>20</v>
      </c>
      <c r="H43" t="s">
        <v>26</v>
      </c>
      <c r="I43" t="s">
        <v>25</v>
      </c>
      <c r="J43" t="s">
        <v>24</v>
      </c>
      <c r="K43" t="s">
        <v>39</v>
      </c>
    </row>
    <row r="44" spans="1:11" x14ac:dyDescent="0.3">
      <c r="A44" t="str">
        <f>'Dane corrupted'!B42</f>
        <v>MNIST-C (Dotted Line)</v>
      </c>
      <c r="B44" t="str">
        <f>'Dane corrupted'!C42</f>
        <v>K-Nearest Neighbors</v>
      </c>
      <c r="C44" t="str">
        <f>'Dane corrupted'!D42</f>
        <v>Brak redukcji</v>
      </c>
      <c r="D44">
        <f>'Dane corrupted'!K42</f>
        <v>0.90769999999999995</v>
      </c>
      <c r="F44" s="2" t="s">
        <v>19</v>
      </c>
      <c r="G44" s="38">
        <v>0.97322500000000001</v>
      </c>
      <c r="H44" s="38">
        <v>0.92044999999999999</v>
      </c>
      <c r="I44" s="38">
        <v>0.93894999999999995</v>
      </c>
      <c r="J44" s="38">
        <v>0.98670000000000002</v>
      </c>
      <c r="K44" s="38">
        <v>0.96852499999999997</v>
      </c>
    </row>
    <row r="45" spans="1:11" x14ac:dyDescent="0.3">
      <c r="A45" t="str">
        <f>'Dane corrupted'!B43</f>
        <v>MNIST-C (Dotted Line)</v>
      </c>
      <c r="B45" t="str">
        <f>'Dane corrupted'!C43</f>
        <v>K-Nearest Neighbors</v>
      </c>
      <c r="C45" t="str">
        <f>'Dane corrupted'!D43</f>
        <v>Flood Fill</v>
      </c>
      <c r="D45">
        <f>'Dane corrupted'!K43</f>
        <v>0.92620000000000002</v>
      </c>
      <c r="F45" s="2" t="s">
        <v>22</v>
      </c>
      <c r="G45" s="38">
        <v>0.98824999999999996</v>
      </c>
      <c r="H45" s="38">
        <v>0.96012500000000001</v>
      </c>
      <c r="I45" s="38">
        <v>0.93200000000000005</v>
      </c>
      <c r="J45" s="38">
        <v>0.99027500000000002</v>
      </c>
      <c r="K45" s="38">
        <v>0.96847499999999997</v>
      </c>
    </row>
    <row r="46" spans="1:11" x14ac:dyDescent="0.3">
      <c r="A46" t="str">
        <f>'Dane corrupted'!B44</f>
        <v>MNIST-C (Dotted Line)</v>
      </c>
      <c r="B46" t="str">
        <f>'Dane corrupted'!C44</f>
        <v>K-Nearest Neighbors</v>
      </c>
      <c r="C46" t="str">
        <f>'Dane corrupted'!D44</f>
        <v>LDA</v>
      </c>
      <c r="D46">
        <f>'Dane corrupted'!K44</f>
        <v>0.90620000000000001</v>
      </c>
      <c r="F46" s="2" t="s">
        <v>23</v>
      </c>
      <c r="G46" s="38">
        <v>0.98722500000000002</v>
      </c>
      <c r="H46" s="38">
        <v>0.93684999999999996</v>
      </c>
      <c r="I46" s="38">
        <v>0.94155</v>
      </c>
      <c r="J46" s="38">
        <v>0.99065000000000003</v>
      </c>
      <c r="K46" s="38">
        <v>0.96814999999999996</v>
      </c>
    </row>
    <row r="47" spans="1:11" x14ac:dyDescent="0.3">
      <c r="A47" t="str">
        <f>'Dane corrupted'!B45</f>
        <v>MNIST-C (Dotted Line)</v>
      </c>
      <c r="B47" t="str">
        <f>'Dane corrupted'!C45</f>
        <v>K-Nearest Neighbors</v>
      </c>
      <c r="C47" t="str">
        <f>'Dane corrupted'!D45</f>
        <v>PCA</v>
      </c>
      <c r="D47">
        <f>'Dane corrupted'!K45</f>
        <v>0.96279999999999999</v>
      </c>
      <c r="F47" s="2" t="s">
        <v>21</v>
      </c>
      <c r="G47" s="38">
        <v>0.97542499999999999</v>
      </c>
      <c r="H47" s="38">
        <v>0.94277500000000003</v>
      </c>
      <c r="I47" s="38">
        <v>0.93394999999999995</v>
      </c>
      <c r="J47" s="38">
        <v>0.96445000000000003</v>
      </c>
      <c r="K47" s="38">
        <v>0.96892500000000004</v>
      </c>
    </row>
    <row r="48" spans="1:11" x14ac:dyDescent="0.3">
      <c r="A48" t="str">
        <f>'Dane corrupted'!B46</f>
        <v>MNIST-C (Dotted Line)</v>
      </c>
      <c r="B48" t="str">
        <f>'Dane corrupted'!C46</f>
        <v>K-Nearest Neighbors</v>
      </c>
      <c r="C48" t="str">
        <f>'Dane corrupted'!D46</f>
        <v>UMAP</v>
      </c>
      <c r="D48">
        <f>'Dane corrupted'!K46</f>
        <v>0.92659999999999998</v>
      </c>
    </row>
    <row r="49" spans="1:11" x14ac:dyDescent="0.3">
      <c r="A49" t="str">
        <f>'Dane corrupted'!B47</f>
        <v>MNIST-C (Dotted Line)</v>
      </c>
      <c r="B49" t="str">
        <f>'Dane corrupted'!C47</f>
        <v>Multi-Layer Perceptron</v>
      </c>
      <c r="C49" t="str">
        <f>'Dane corrupted'!D47</f>
        <v>Brak redukcji</v>
      </c>
      <c r="D49">
        <f>'Dane corrupted'!K47</f>
        <v>0.97330000000000005</v>
      </c>
    </row>
    <row r="50" spans="1:11" x14ac:dyDescent="0.3">
      <c r="A50" t="str">
        <f>'Dane corrupted'!B48</f>
        <v>MNIST-C (Dotted Line)</v>
      </c>
      <c r="B50" t="str">
        <f>'Dane corrupted'!C48</f>
        <v>Multi-Layer Perceptron</v>
      </c>
      <c r="C50" t="str">
        <f>'Dane corrupted'!D48</f>
        <v>Flood Fill</v>
      </c>
      <c r="D50">
        <f>'Dane corrupted'!K48</f>
        <v>0.96230000000000004</v>
      </c>
    </row>
    <row r="51" spans="1:11" x14ac:dyDescent="0.3">
      <c r="A51" t="str">
        <f>'Dane corrupted'!B49</f>
        <v>MNIST-C (Dotted Line)</v>
      </c>
      <c r="B51" t="str">
        <f>'Dane corrupted'!C49</f>
        <v>Multi-Layer Perceptron</v>
      </c>
      <c r="C51" t="str">
        <f>'Dane corrupted'!D49</f>
        <v>LDA</v>
      </c>
      <c r="D51">
        <f>'Dane corrupted'!K49</f>
        <v>0.89549999999999996</v>
      </c>
    </row>
    <row r="52" spans="1:11" x14ac:dyDescent="0.3">
      <c r="A52" t="str">
        <f>'Dane corrupted'!B50</f>
        <v>MNIST-C (Dotted Line)</v>
      </c>
      <c r="B52" t="str">
        <f>'Dane corrupted'!C50</f>
        <v>Multi-Layer Perceptron</v>
      </c>
      <c r="C52" t="str">
        <f>'Dane corrupted'!D50</f>
        <v>PCA</v>
      </c>
      <c r="D52">
        <f>'Dane corrupted'!K50</f>
        <v>0.95499999999999996</v>
      </c>
    </row>
    <row r="53" spans="1:11" x14ac:dyDescent="0.3">
      <c r="A53" t="str">
        <f>'Dane corrupted'!B51</f>
        <v>MNIST-C (Dotted Line)</v>
      </c>
      <c r="B53" t="str">
        <f>'Dane corrupted'!C51</f>
        <v>Multi-Layer Perceptron</v>
      </c>
      <c r="C53" t="str">
        <f>'Dane corrupted'!D51</f>
        <v>UMAP</v>
      </c>
      <c r="D53">
        <f>'Dane corrupted'!K51</f>
        <v>0.92449999999999999</v>
      </c>
    </row>
    <row r="54" spans="1:11" x14ac:dyDescent="0.3">
      <c r="A54" t="str">
        <f>'Dane corrupted'!B52</f>
        <v>MNIST-C (Dotted Line)</v>
      </c>
      <c r="B54" t="str">
        <f>'Dane corrupted'!C52</f>
        <v>Support Vector Machine</v>
      </c>
      <c r="C54" t="str">
        <f>'Dane corrupted'!D52</f>
        <v>Brak redukcji</v>
      </c>
      <c r="D54">
        <f>'Dane corrupted'!K52</f>
        <v>0.96709999999999996</v>
      </c>
    </row>
    <row r="55" spans="1:11" x14ac:dyDescent="0.3">
      <c r="A55" t="str">
        <f>'Dane corrupted'!B53</f>
        <v>MNIST-C (Dotted Line)</v>
      </c>
      <c r="B55" t="str">
        <f>'Dane corrupted'!C53</f>
        <v>Support Vector Machine</v>
      </c>
      <c r="C55" t="str">
        <f>'Dane corrupted'!D53</f>
        <v>Flood Fill</v>
      </c>
      <c r="D55">
        <f>'Dane corrupted'!K53</f>
        <v>0.94879999999999998</v>
      </c>
    </row>
    <row r="56" spans="1:11" x14ac:dyDescent="0.3">
      <c r="A56" t="str">
        <f>'Dane corrupted'!B54</f>
        <v>MNIST-C (Dotted Line)</v>
      </c>
      <c r="B56" t="str">
        <f>'Dane corrupted'!C54</f>
        <v>Support Vector Machine</v>
      </c>
      <c r="C56" t="str">
        <f>'Dane corrupted'!D54</f>
        <v>LDA</v>
      </c>
      <c r="D56">
        <f>'Dane corrupted'!K54</f>
        <v>0.9123</v>
      </c>
    </row>
    <row r="57" spans="1:11" x14ac:dyDescent="0.3">
      <c r="A57" t="str">
        <f>'Dane corrupted'!B55</f>
        <v>MNIST-C (Dotted Line)</v>
      </c>
      <c r="B57" t="str">
        <f>'Dane corrupted'!C55</f>
        <v>Support Vector Machine</v>
      </c>
      <c r="C57" t="str">
        <f>'Dane corrupted'!D55</f>
        <v>PCA</v>
      </c>
      <c r="D57">
        <f>'Dane corrupted'!K55</f>
        <v>0.97760000000000002</v>
      </c>
    </row>
    <row r="58" spans="1:11" x14ac:dyDescent="0.3">
      <c r="A58" t="str">
        <f>'Dane corrupted'!B56</f>
        <v>MNIST-C (Dotted Line)</v>
      </c>
      <c r="B58" t="str">
        <f>'Dane corrupted'!C56</f>
        <v>Support Vector Machine</v>
      </c>
      <c r="C58" t="str">
        <f>'Dane corrupted'!D56</f>
        <v>UMAP</v>
      </c>
      <c r="D58">
        <f>'Dane corrupted'!K56</f>
        <v>0.92559999999999998</v>
      </c>
    </row>
    <row r="59" spans="1:11" x14ac:dyDescent="0.3">
      <c r="A59" t="str">
        <f>'Dane corrupted'!B57</f>
        <v>MNIST-C (Dotted Line)</v>
      </c>
      <c r="B59" t="str">
        <f>'Dane corrupted'!C57</f>
        <v>XGBoost</v>
      </c>
      <c r="C59" t="str">
        <f>'Dane corrupted'!D57</f>
        <v>Brak redukcji</v>
      </c>
      <c r="D59">
        <f>'Dane corrupted'!K57</f>
        <v>0.95750000000000002</v>
      </c>
    </row>
    <row r="60" spans="1:11" x14ac:dyDescent="0.3">
      <c r="A60" t="str">
        <f>'Dane corrupted'!B58</f>
        <v>MNIST-C (Dotted Line)</v>
      </c>
      <c r="B60" t="str">
        <f>'Dane corrupted'!C58</f>
        <v>XGBoost</v>
      </c>
      <c r="C60" t="str">
        <f>'Dane corrupted'!D58</f>
        <v>Flood Fill</v>
      </c>
      <c r="D60">
        <f>'Dane corrupted'!K58</f>
        <v>0.95689999999999997</v>
      </c>
    </row>
    <row r="61" spans="1:11" x14ac:dyDescent="0.3">
      <c r="A61" t="str">
        <f>'Dane corrupted'!B59</f>
        <v>MNIST-C (Dotted Line)</v>
      </c>
      <c r="B61" t="str">
        <f>'Dane corrupted'!C59</f>
        <v>XGBoost</v>
      </c>
      <c r="C61" t="str">
        <f>'Dane corrupted'!D59</f>
        <v>LDA</v>
      </c>
      <c r="D61">
        <f>'Dane corrupted'!K59</f>
        <v>0.90439999999999998</v>
      </c>
    </row>
    <row r="62" spans="1:11" x14ac:dyDescent="0.3">
      <c r="A62" t="str">
        <f>'Dane corrupted'!B60</f>
        <v>MNIST-C (Dotted Line)</v>
      </c>
      <c r="B62" t="str">
        <f>'Dane corrupted'!C60</f>
        <v>XGBoost</v>
      </c>
      <c r="C62" t="str">
        <f>'Dane corrupted'!D60</f>
        <v>PCA</v>
      </c>
      <c r="D62">
        <f>'Dane corrupted'!K60</f>
        <v>0.94199999999999995</v>
      </c>
      <c r="F62" s="1" t="s">
        <v>37</v>
      </c>
      <c r="G62" s="1" t="s">
        <v>35</v>
      </c>
    </row>
    <row r="63" spans="1:11" x14ac:dyDescent="0.3">
      <c r="A63" t="str">
        <f>'Dane corrupted'!B61</f>
        <v>MNIST-C (Dotted Line)</v>
      </c>
      <c r="B63" t="str">
        <f>'Dane corrupted'!C61</f>
        <v>XGBoost</v>
      </c>
      <c r="C63" t="str">
        <f>'Dane corrupted'!D61</f>
        <v>UMAP</v>
      </c>
      <c r="D63">
        <f>'Dane corrupted'!K61</f>
        <v>0.92959999999999998</v>
      </c>
      <c r="F63" s="1" t="s">
        <v>36</v>
      </c>
      <c r="G63" t="s">
        <v>20</v>
      </c>
      <c r="H63" t="s">
        <v>26</v>
      </c>
      <c r="I63" t="s">
        <v>25</v>
      </c>
      <c r="J63" t="s">
        <v>24</v>
      </c>
      <c r="K63" t="s">
        <v>39</v>
      </c>
    </row>
    <row r="64" spans="1:11" x14ac:dyDescent="0.3">
      <c r="A64" t="s">
        <v>32</v>
      </c>
      <c r="B64" t="s">
        <v>38</v>
      </c>
      <c r="C64" t="s">
        <v>33</v>
      </c>
      <c r="D64" t="s">
        <v>34</v>
      </c>
      <c r="F64" s="2" t="s">
        <v>19</v>
      </c>
      <c r="G64" s="38">
        <v>0.80249999999999999</v>
      </c>
      <c r="H64" s="38">
        <v>0.7984</v>
      </c>
      <c r="I64" s="38">
        <v>0.83260000000000001</v>
      </c>
      <c r="J64" s="38">
        <v>0.8579</v>
      </c>
      <c r="K64" s="38">
        <v>0.80630000000000002</v>
      </c>
    </row>
    <row r="65" spans="1:11" x14ac:dyDescent="0.3">
      <c r="A65" t="str">
        <f>'Dane corrupted'!B62</f>
        <v>MNIST-C (Fog)</v>
      </c>
      <c r="B65" t="str">
        <f>'Dane corrupted'!C62</f>
        <v>K-Nearest Neighbors</v>
      </c>
      <c r="C65" t="str">
        <f>'Dane corrupted'!D62</f>
        <v>Brak redukcji</v>
      </c>
      <c r="D65">
        <f>'Dane corrupted'!K62</f>
        <v>0.52639999999999998</v>
      </c>
      <c r="F65" s="2" t="s">
        <v>22</v>
      </c>
      <c r="G65" s="38">
        <v>0.84760000000000002</v>
      </c>
      <c r="H65" s="38">
        <v>0.82099999999999995</v>
      </c>
      <c r="I65" s="38">
        <v>0.80869999999999997</v>
      </c>
      <c r="J65" s="38">
        <v>0.88400000000000001</v>
      </c>
      <c r="K65" s="38">
        <v>0.79900000000000004</v>
      </c>
    </row>
    <row r="66" spans="1:11" x14ac:dyDescent="0.3">
      <c r="A66" t="str">
        <f>'Dane corrupted'!B63</f>
        <v>MNIST-C (Fog)</v>
      </c>
      <c r="B66" t="str">
        <f>'Dane corrupted'!C63</f>
        <v>K-Nearest Neighbors</v>
      </c>
      <c r="C66" t="str">
        <f>'Dane corrupted'!D63</f>
        <v>Flood Fill</v>
      </c>
      <c r="D66">
        <f>'Dane corrupted'!K63</f>
        <v>0.2238</v>
      </c>
      <c r="F66" s="2" t="s">
        <v>23</v>
      </c>
      <c r="G66" s="38">
        <v>0.85460000000000003</v>
      </c>
      <c r="H66" s="38">
        <v>0.77810000000000001</v>
      </c>
      <c r="I66" s="38">
        <v>0.84030000000000005</v>
      </c>
      <c r="J66" s="38">
        <v>0.88060000000000005</v>
      </c>
      <c r="K66" s="38">
        <v>0.77290000000000003</v>
      </c>
    </row>
    <row r="67" spans="1:11" x14ac:dyDescent="0.3">
      <c r="A67" t="str">
        <f>'Dane corrupted'!B64</f>
        <v>MNIST-C (Fog)</v>
      </c>
      <c r="B67" t="str">
        <f>'Dane corrupted'!C64</f>
        <v>K-Nearest Neighbors</v>
      </c>
      <c r="C67" t="str">
        <f>'Dane corrupted'!D64</f>
        <v>LDA</v>
      </c>
      <c r="D67">
        <f>'Dane corrupted'!K64</f>
        <v>0.9012</v>
      </c>
      <c r="F67" s="2" t="s">
        <v>21</v>
      </c>
      <c r="G67" s="38">
        <v>0.83879999999999999</v>
      </c>
      <c r="H67" s="38">
        <v>0.82599999999999996</v>
      </c>
      <c r="I67" s="38">
        <v>0.83950000000000002</v>
      </c>
      <c r="J67" s="38">
        <v>0.86890000000000001</v>
      </c>
      <c r="K67" s="38">
        <v>0.82840000000000003</v>
      </c>
    </row>
    <row r="68" spans="1:11" x14ac:dyDescent="0.3">
      <c r="A68" t="str">
        <f>'Dane corrupted'!B65</f>
        <v>MNIST-C (Fog)</v>
      </c>
      <c r="B68" t="str">
        <f>'Dane corrupted'!C65</f>
        <v>K-Nearest Neighbors</v>
      </c>
      <c r="C68" t="str">
        <f>'Dane corrupted'!D65</f>
        <v>PCA</v>
      </c>
      <c r="D68">
        <f>'Dane corrupted'!K65</f>
        <v>0.8901</v>
      </c>
    </row>
    <row r="69" spans="1:11" x14ac:dyDescent="0.3">
      <c r="A69" t="str">
        <f>'Dane corrupted'!B66</f>
        <v>MNIST-C (Fog)</v>
      </c>
      <c r="B69" t="str">
        <f>'Dane corrupted'!C66</f>
        <v>K-Nearest Neighbors</v>
      </c>
      <c r="C69" t="str">
        <f>'Dane corrupted'!D66</f>
        <v>UMAP</v>
      </c>
      <c r="D69">
        <f>'Dane corrupted'!K66</f>
        <v>0.76729999999999998</v>
      </c>
    </row>
    <row r="70" spans="1:11" x14ac:dyDescent="0.3">
      <c r="A70" t="str">
        <f>'Dane corrupted'!B67</f>
        <v>MNIST-C (Fog)</v>
      </c>
      <c r="B70" t="str">
        <f>'Dane corrupted'!C67</f>
        <v>Multi-Layer Perceptron</v>
      </c>
      <c r="C70" t="str">
        <f>'Dane corrupted'!D67</f>
        <v>Brak redukcji</v>
      </c>
      <c r="D70">
        <f>'Dane corrupted'!K67</f>
        <v>0.61150000000000004</v>
      </c>
    </row>
    <row r="71" spans="1:11" x14ac:dyDescent="0.3">
      <c r="A71" t="str">
        <f>'Dane corrupted'!B68</f>
        <v>MNIST-C (Fog)</v>
      </c>
      <c r="B71" t="str">
        <f>'Dane corrupted'!C68</f>
        <v>Multi-Layer Perceptron</v>
      </c>
      <c r="C71" t="str">
        <f>'Dane corrupted'!D68</f>
        <v>Flood Fill</v>
      </c>
      <c r="D71">
        <f>'Dane corrupted'!K68</f>
        <v>0.26889999999999997</v>
      </c>
    </row>
    <row r="72" spans="1:11" x14ac:dyDescent="0.3">
      <c r="A72" t="str">
        <f>'Dane corrupted'!B69</f>
        <v>MNIST-C (Fog)</v>
      </c>
      <c r="B72" t="str">
        <f>'Dane corrupted'!C69</f>
        <v>Multi-Layer Perceptron</v>
      </c>
      <c r="C72" t="str">
        <f>'Dane corrupted'!D69</f>
        <v>LDA</v>
      </c>
      <c r="D72">
        <f>'Dane corrupted'!K69</f>
        <v>0.88849999999999996</v>
      </c>
    </row>
    <row r="73" spans="1:11" x14ac:dyDescent="0.3">
      <c r="A73" t="str">
        <f>'Dane corrupted'!B70</f>
        <v>MNIST-C (Fog)</v>
      </c>
      <c r="B73" t="str">
        <f>'Dane corrupted'!C70</f>
        <v>Multi-Layer Perceptron</v>
      </c>
      <c r="C73" t="str">
        <f>'Dane corrupted'!D70</f>
        <v>PCA</v>
      </c>
      <c r="D73">
        <f>'Dane corrupted'!K70</f>
        <v>0.97599999999999998</v>
      </c>
    </row>
    <row r="74" spans="1:11" x14ac:dyDescent="0.3">
      <c r="A74" t="str">
        <f>'Dane corrupted'!B71</f>
        <v>MNIST-C (Fog)</v>
      </c>
      <c r="B74" t="str">
        <f>'Dane corrupted'!C71</f>
        <v>Multi-Layer Perceptron</v>
      </c>
      <c r="C74" t="str">
        <f>'Dane corrupted'!D71</f>
        <v>UMAP</v>
      </c>
      <c r="D74">
        <f>'Dane corrupted'!K71</f>
        <v>0.78439999999999999</v>
      </c>
    </row>
    <row r="75" spans="1:11" x14ac:dyDescent="0.3">
      <c r="A75" t="str">
        <f>'Dane corrupted'!B72</f>
        <v>MNIST-C (Fog)</v>
      </c>
      <c r="B75" t="str">
        <f>'Dane corrupted'!C72</f>
        <v>Support Vector Machine</v>
      </c>
      <c r="C75" t="str">
        <f>'Dane corrupted'!D72</f>
        <v>Brak redukcji</v>
      </c>
      <c r="D75">
        <f>'Dane corrupted'!K72</f>
        <v>0.59140000000000004</v>
      </c>
    </row>
    <row r="76" spans="1:11" x14ac:dyDescent="0.3">
      <c r="A76" t="str">
        <f>'Dane corrupted'!B73</f>
        <v>MNIST-C (Fog)</v>
      </c>
      <c r="B76" t="str">
        <f>'Dane corrupted'!C73</f>
        <v>Support Vector Machine</v>
      </c>
      <c r="C76" t="str">
        <f>'Dane corrupted'!D73</f>
        <v>Flood Fill</v>
      </c>
      <c r="D76">
        <f>'Dane corrupted'!K73</f>
        <v>0.25659999999999999</v>
      </c>
    </row>
    <row r="77" spans="1:11" x14ac:dyDescent="0.3">
      <c r="A77" t="str">
        <f>'Dane corrupted'!B74</f>
        <v>MNIST-C (Fog)</v>
      </c>
      <c r="B77" t="str">
        <f>'Dane corrupted'!C74</f>
        <v>Support Vector Machine</v>
      </c>
      <c r="C77" t="str">
        <f>'Dane corrupted'!D74</f>
        <v>LDA</v>
      </c>
      <c r="D77">
        <f>'Dane corrupted'!K74</f>
        <v>0.9073</v>
      </c>
    </row>
    <row r="78" spans="1:11" x14ac:dyDescent="0.3">
      <c r="A78" t="str">
        <f>'Dane corrupted'!B75</f>
        <v>MNIST-C (Fog)</v>
      </c>
      <c r="B78" t="str">
        <f>'Dane corrupted'!C75</f>
        <v>Support Vector Machine</v>
      </c>
      <c r="C78" t="str">
        <f>'Dane corrupted'!D75</f>
        <v>PCA</v>
      </c>
      <c r="D78">
        <f>'Dane corrupted'!K75</f>
        <v>0.92920000000000003</v>
      </c>
    </row>
    <row r="79" spans="1:11" x14ac:dyDescent="0.3">
      <c r="A79" t="str">
        <f>'Dane corrupted'!B76</f>
        <v>MNIST-C (Fog)</v>
      </c>
      <c r="B79" t="str">
        <f>'Dane corrupted'!C76</f>
        <v>Support Vector Machine</v>
      </c>
      <c r="C79" t="str">
        <f>'Dane corrupted'!D76</f>
        <v>UMAP</v>
      </c>
      <c r="D79">
        <f>'Dane corrupted'!K76</f>
        <v>0.75370000000000004</v>
      </c>
    </row>
    <row r="80" spans="1:11" x14ac:dyDescent="0.3">
      <c r="A80" t="str">
        <f>'Dane corrupted'!B77</f>
        <v>MNIST-C (Fog)</v>
      </c>
      <c r="B80" t="str">
        <f>'Dane corrupted'!C77</f>
        <v>XGBoost</v>
      </c>
      <c r="C80" t="str">
        <f>'Dane corrupted'!D77</f>
        <v>Brak redukcji</v>
      </c>
      <c r="D80">
        <f>'Dane corrupted'!K77</f>
        <v>0.61409999999999998</v>
      </c>
    </row>
    <row r="81" spans="1:11" x14ac:dyDescent="0.3">
      <c r="A81" t="str">
        <f>'Dane corrupted'!B78</f>
        <v>MNIST-C (Fog)</v>
      </c>
      <c r="B81" t="str">
        <f>'Dane corrupted'!C78</f>
        <v>XGBoost</v>
      </c>
      <c r="C81" t="str">
        <f>'Dane corrupted'!D78</f>
        <v>Flood Fill</v>
      </c>
      <c r="D81">
        <f>'Dane corrupted'!K78</f>
        <v>0.27239999999999998</v>
      </c>
    </row>
    <row r="82" spans="1:11" x14ac:dyDescent="0.3">
      <c r="A82" t="str">
        <f>'Dane corrupted'!B79</f>
        <v>MNIST-C (Fog)</v>
      </c>
      <c r="B82" t="str">
        <f>'Dane corrupted'!C79</f>
        <v>XGBoost</v>
      </c>
      <c r="C82" t="str">
        <f>'Dane corrupted'!D79</f>
        <v>LDA</v>
      </c>
      <c r="D82">
        <f>'Dane corrupted'!K79</f>
        <v>0.90269999999999995</v>
      </c>
      <c r="F82" s="1" t="s">
        <v>37</v>
      </c>
      <c r="G82" s="1" t="s">
        <v>35</v>
      </c>
    </row>
    <row r="83" spans="1:11" x14ac:dyDescent="0.3">
      <c r="A83" t="str">
        <f>'Dane corrupted'!B80</f>
        <v>MNIST-C (Fog)</v>
      </c>
      <c r="B83" t="str">
        <f>'Dane corrupted'!C80</f>
        <v>XGBoost</v>
      </c>
      <c r="C83" t="str">
        <f>'Dane corrupted'!D80</f>
        <v>PCA</v>
      </c>
      <c r="D83">
        <f>'Dane corrupted'!K80</f>
        <v>0.94320000000000004</v>
      </c>
      <c r="F83" s="1" t="s">
        <v>36</v>
      </c>
      <c r="G83" t="s">
        <v>20</v>
      </c>
      <c r="H83" t="s">
        <v>26</v>
      </c>
      <c r="I83" t="s">
        <v>25</v>
      </c>
      <c r="J83" t="s">
        <v>24</v>
      </c>
      <c r="K83" t="s">
        <v>39</v>
      </c>
    </row>
    <row r="84" spans="1:11" x14ac:dyDescent="0.3">
      <c r="A84" t="str">
        <f>'Dane corrupted'!B81</f>
        <v>MNIST-C (Fog)</v>
      </c>
      <c r="B84" t="str">
        <f>'Dane corrupted'!C81</f>
        <v>XGBoost</v>
      </c>
      <c r="C84" t="str">
        <f>'Dane corrupted'!D81</f>
        <v>UMAP</v>
      </c>
      <c r="D84">
        <f>'Dane corrupted'!K81</f>
        <v>0.81189999999999996</v>
      </c>
      <c r="F84" s="2" t="s">
        <v>19</v>
      </c>
      <c r="G84" s="38">
        <v>0.95760000000000001</v>
      </c>
      <c r="H84" s="38">
        <v>0.95820000000000005</v>
      </c>
      <c r="I84" s="38">
        <v>0.91449999999999998</v>
      </c>
      <c r="J84" s="38">
        <v>0.97440000000000004</v>
      </c>
      <c r="K84" s="38">
        <v>0.95489999999999997</v>
      </c>
    </row>
    <row r="85" spans="1:11" x14ac:dyDescent="0.3">
      <c r="A85" t="s">
        <v>32</v>
      </c>
      <c r="B85" t="s">
        <v>38</v>
      </c>
      <c r="C85" t="s">
        <v>33</v>
      </c>
      <c r="D85" t="s">
        <v>34</v>
      </c>
      <c r="F85" s="2" t="s">
        <v>22</v>
      </c>
      <c r="G85" s="38">
        <v>0.97399999999999998</v>
      </c>
      <c r="H85" s="38">
        <v>0.9778</v>
      </c>
      <c r="I85" s="38">
        <v>0.90659999999999996</v>
      </c>
      <c r="J85" s="38">
        <v>0.98440000000000005</v>
      </c>
      <c r="K85" s="38">
        <v>0.95409999999999995</v>
      </c>
    </row>
    <row r="86" spans="1:11" x14ac:dyDescent="0.3">
      <c r="A86" t="str">
        <f>'Dane corrupted'!B82</f>
        <v>MNIST-C (Glass Blur)</v>
      </c>
      <c r="B86" t="str">
        <f>'Dane corrupted'!C82</f>
        <v>K-Nearest Neighbors</v>
      </c>
      <c r="C86" t="str">
        <f>'Dane corrupted'!D82</f>
        <v>Brak redukcji</v>
      </c>
      <c r="D86">
        <f>'Dane corrupted'!K82</f>
        <v>0.8135</v>
      </c>
      <c r="F86" s="2" t="s">
        <v>23</v>
      </c>
      <c r="G86" s="38">
        <v>0.97689999999999999</v>
      </c>
      <c r="H86" s="38">
        <v>0.97160000000000002</v>
      </c>
      <c r="I86" s="38">
        <v>0.92149999999999999</v>
      </c>
      <c r="J86" s="38">
        <v>0.98280000000000001</v>
      </c>
      <c r="K86" s="38">
        <v>0.95409999999999995</v>
      </c>
    </row>
    <row r="87" spans="1:11" x14ac:dyDescent="0.3">
      <c r="A87" t="str">
        <f>'Dane corrupted'!B83</f>
        <v>MNIST-C (Glass Blur)</v>
      </c>
      <c r="B87" t="str">
        <f>'Dane corrupted'!C83</f>
        <v>K-Nearest Neighbors</v>
      </c>
      <c r="C87" t="str">
        <f>'Dane corrupted'!D83</f>
        <v>Flood Fill</v>
      </c>
      <c r="D87">
        <f>'Dane corrupted'!K83</f>
        <v>0.89100000000000001</v>
      </c>
      <c r="F87" s="2" t="s">
        <v>21</v>
      </c>
      <c r="G87" s="38">
        <v>0.96540000000000004</v>
      </c>
      <c r="H87" s="38">
        <v>0.97570000000000001</v>
      </c>
      <c r="I87" s="38">
        <v>0.91279999999999994</v>
      </c>
      <c r="J87" s="38">
        <v>0.95509999999999995</v>
      </c>
      <c r="K87" s="38">
        <v>0.9556</v>
      </c>
    </row>
    <row r="88" spans="1:11" x14ac:dyDescent="0.3">
      <c r="A88" t="str">
        <f>'Dane corrupted'!B84</f>
        <v>MNIST-C (Glass Blur)</v>
      </c>
      <c r="B88" t="str">
        <f>'Dane corrupted'!C84</f>
        <v>K-Nearest Neighbors</v>
      </c>
      <c r="C88" t="str">
        <f>'Dane corrupted'!D84</f>
        <v>LDA</v>
      </c>
      <c r="D88">
        <f>'Dane corrupted'!K84</f>
        <v>0.90029999999999999</v>
      </c>
    </row>
    <row r="89" spans="1:11" x14ac:dyDescent="0.3">
      <c r="A89" t="str">
        <f>'Dane corrupted'!B85</f>
        <v>MNIST-C (Glass Blur)</v>
      </c>
      <c r="B89" t="str">
        <f>'Dane corrupted'!C85</f>
        <v>K-Nearest Neighbors</v>
      </c>
      <c r="C89" t="str">
        <f>'Dane corrupted'!D85</f>
        <v>PCA</v>
      </c>
      <c r="D89">
        <f>'Dane corrupted'!K85</f>
        <v>0.96250000000000002</v>
      </c>
    </row>
    <row r="90" spans="1:11" x14ac:dyDescent="0.3">
      <c r="A90" t="str">
        <f>'Dane corrupted'!B86</f>
        <v>MNIST-C (Glass Blur)</v>
      </c>
      <c r="B90" t="str">
        <f>'Dane corrupted'!C86</f>
        <v>K-Nearest Neighbors</v>
      </c>
      <c r="C90" t="str">
        <f>'Dane corrupted'!D86</f>
        <v>UMAP</v>
      </c>
      <c r="D90">
        <f>'Dane corrupted'!K86</f>
        <v>0.94399999999999995</v>
      </c>
    </row>
    <row r="91" spans="1:11" x14ac:dyDescent="0.3">
      <c r="A91" t="str">
        <f>'Dane corrupted'!B87</f>
        <v>MNIST-C (Glass Blur)</v>
      </c>
      <c r="B91" t="str">
        <f>'Dane corrupted'!C87</f>
        <v>Multi-Layer Perceptron</v>
      </c>
      <c r="C91" t="str">
        <f>'Dane corrupted'!D87</f>
        <v>Brak redukcji</v>
      </c>
      <c r="D91">
        <f>'Dane corrupted'!K87</f>
        <v>0.94220000000000004</v>
      </c>
    </row>
    <row r="92" spans="1:11" x14ac:dyDescent="0.3">
      <c r="A92" t="str">
        <f>'Dane corrupted'!B88</f>
        <v>MNIST-C (Glass Blur)</v>
      </c>
      <c r="B92" t="str">
        <f>'Dane corrupted'!C88</f>
        <v>Multi-Layer Perceptron</v>
      </c>
      <c r="C92" t="str">
        <f>'Dane corrupted'!D88</f>
        <v>Flood Fill</v>
      </c>
      <c r="D92">
        <f>'Dane corrupted'!K88</f>
        <v>0.91490000000000005</v>
      </c>
    </row>
    <row r="93" spans="1:11" x14ac:dyDescent="0.3">
      <c r="A93" t="str">
        <f>'Dane corrupted'!B89</f>
        <v>MNIST-C (Glass Blur)</v>
      </c>
      <c r="B93" t="str">
        <f>'Dane corrupted'!C89</f>
        <v>Multi-Layer Perceptron</v>
      </c>
      <c r="C93" t="str">
        <f>'Dane corrupted'!D89</f>
        <v>LDA</v>
      </c>
      <c r="D93">
        <f>'Dane corrupted'!K89</f>
        <v>0.88290000000000002</v>
      </c>
    </row>
    <row r="94" spans="1:11" x14ac:dyDescent="0.3">
      <c r="A94" t="str">
        <f>'Dane corrupted'!B90</f>
        <v>MNIST-C (Glass Blur)</v>
      </c>
      <c r="B94" t="str">
        <f>'Dane corrupted'!C90</f>
        <v>Multi-Layer Perceptron</v>
      </c>
      <c r="C94" t="str">
        <f>'Dane corrupted'!D90</f>
        <v>PCA</v>
      </c>
      <c r="D94">
        <f>'Dane corrupted'!K90</f>
        <v>0.97050000000000003</v>
      </c>
    </row>
    <row r="95" spans="1:11" x14ac:dyDescent="0.3">
      <c r="A95" t="str">
        <f>'Dane corrupted'!B91</f>
        <v>MNIST-C (Glass Blur)</v>
      </c>
      <c r="B95" t="str">
        <f>'Dane corrupted'!C91</f>
        <v>Multi-Layer Perceptron</v>
      </c>
      <c r="C95" t="str">
        <f>'Dane corrupted'!D91</f>
        <v>UMAP</v>
      </c>
      <c r="D95">
        <f>'Dane corrupted'!K91</f>
        <v>0.94369999999999998</v>
      </c>
    </row>
    <row r="96" spans="1:11" x14ac:dyDescent="0.3">
      <c r="A96" t="str">
        <f>'Dane corrupted'!B92</f>
        <v>MNIST-C (Glass Blur)</v>
      </c>
      <c r="B96" t="str">
        <f>'Dane corrupted'!C92</f>
        <v>Support Vector Machine</v>
      </c>
      <c r="C96" t="str">
        <f>'Dane corrupted'!D92</f>
        <v>Brak redukcji</v>
      </c>
      <c r="D96">
        <f>'Dane corrupted'!K92</f>
        <v>0.93279999999999996</v>
      </c>
    </row>
    <row r="97" spans="1:11" x14ac:dyDescent="0.3">
      <c r="A97" t="str">
        <f>'Dane corrupted'!B93</f>
        <v>MNIST-C (Glass Blur)</v>
      </c>
      <c r="B97" t="str">
        <f>'Dane corrupted'!C93</f>
        <v>Support Vector Machine</v>
      </c>
      <c r="C97" t="str">
        <f>'Dane corrupted'!D93</f>
        <v>Flood Fill</v>
      </c>
      <c r="D97">
        <f>'Dane corrupted'!K93</f>
        <v>0.91159999999999997</v>
      </c>
    </row>
    <row r="98" spans="1:11" x14ac:dyDescent="0.3">
      <c r="A98" t="str">
        <f>'Dane corrupted'!B94</f>
        <v>MNIST-C (Glass Blur)</v>
      </c>
      <c r="B98" t="str">
        <f>'Dane corrupted'!C94</f>
        <v>Support Vector Machine</v>
      </c>
      <c r="C98" t="str">
        <f>'Dane corrupted'!D94</f>
        <v>LDA</v>
      </c>
      <c r="D98">
        <f>'Dane corrupted'!K94</f>
        <v>0.91049999999999998</v>
      </c>
    </row>
    <row r="99" spans="1:11" x14ac:dyDescent="0.3">
      <c r="A99" t="str">
        <f>'Dane corrupted'!B95</f>
        <v>MNIST-C (Glass Blur)</v>
      </c>
      <c r="B99" t="str">
        <f>'Dane corrupted'!C95</f>
        <v>Support Vector Machine</v>
      </c>
      <c r="C99" t="str">
        <f>'Dane corrupted'!D95</f>
        <v>PCA</v>
      </c>
      <c r="D99">
        <f>'Dane corrupted'!K95</f>
        <v>0.9728</v>
      </c>
    </row>
    <row r="100" spans="1:11" x14ac:dyDescent="0.3">
      <c r="A100" t="str">
        <f>'Dane corrupted'!B96</f>
        <v>MNIST-C (Glass Blur)</v>
      </c>
      <c r="B100" t="str">
        <f>'Dane corrupted'!C96</f>
        <v>Support Vector Machine</v>
      </c>
      <c r="C100" t="str">
        <f>'Dane corrupted'!D96</f>
        <v>UMAP</v>
      </c>
      <c r="D100">
        <f>'Dane corrupted'!K96</f>
        <v>0.94140000000000001</v>
      </c>
    </row>
    <row r="101" spans="1:11" x14ac:dyDescent="0.3">
      <c r="A101" t="str">
        <f>'Dane corrupted'!B97</f>
        <v>MNIST-C (Glass Blur)</v>
      </c>
      <c r="B101" t="str">
        <f>'Dane corrupted'!C97</f>
        <v>XGBoost</v>
      </c>
      <c r="C101" t="str">
        <f>'Dane corrupted'!D97</f>
        <v>Brak redukcji</v>
      </c>
      <c r="D101">
        <f>'Dane corrupted'!K97</f>
        <v>0.8931</v>
      </c>
    </row>
    <row r="102" spans="1:11" x14ac:dyDescent="0.3">
      <c r="A102" t="str">
        <f>'Dane corrupted'!B98</f>
        <v>MNIST-C (Glass Blur)</v>
      </c>
      <c r="B102" t="str">
        <f>'Dane corrupted'!C98</f>
        <v>XGBoost</v>
      </c>
      <c r="C102" t="str">
        <f>'Dane corrupted'!D98</f>
        <v>Flood Fill</v>
      </c>
      <c r="D102">
        <f>'Dane corrupted'!K98</f>
        <v>0.91249999999999998</v>
      </c>
      <c r="F102" s="1" t="s">
        <v>37</v>
      </c>
      <c r="G102" s="1" t="s">
        <v>35</v>
      </c>
    </row>
    <row r="103" spans="1:11" x14ac:dyDescent="0.3">
      <c r="A103" t="str">
        <f>'Dane corrupted'!B99</f>
        <v>MNIST-C (Glass Blur)</v>
      </c>
      <c r="B103" t="str">
        <f>'Dane corrupted'!C99</f>
        <v>XGBoost</v>
      </c>
      <c r="C103" t="str">
        <f>'Dane corrupted'!D99</f>
        <v>LDA</v>
      </c>
      <c r="D103">
        <f>'Dane corrupted'!K99</f>
        <v>0.90129999999999999</v>
      </c>
      <c r="F103" s="1" t="s">
        <v>36</v>
      </c>
      <c r="G103" t="s">
        <v>20</v>
      </c>
      <c r="H103" t="s">
        <v>26</v>
      </c>
      <c r="I103" t="s">
        <v>25</v>
      </c>
      <c r="J103" t="s">
        <v>24</v>
      </c>
      <c r="K103" t="s">
        <v>39</v>
      </c>
    </row>
    <row r="104" spans="1:11" x14ac:dyDescent="0.3">
      <c r="A104" t="str">
        <f>'Dane corrupted'!B100</f>
        <v>MNIST-C (Glass Blur)</v>
      </c>
      <c r="B104" t="str">
        <f>'Dane corrupted'!C100</f>
        <v>XGBoost</v>
      </c>
      <c r="C104" t="str">
        <f>'Dane corrupted'!D100</f>
        <v>PCA</v>
      </c>
      <c r="D104">
        <f>'Dane corrupted'!K100</f>
        <v>0.94410000000000005</v>
      </c>
      <c r="F104" s="2" t="s">
        <v>19</v>
      </c>
      <c r="G104" s="38">
        <v>0.91131041355256603</v>
      </c>
      <c r="H104" s="38">
        <v>0.89885401096163398</v>
      </c>
      <c r="I104" s="38">
        <v>0.90533134030891804</v>
      </c>
      <c r="J104" s="38">
        <v>0.94818136522172303</v>
      </c>
      <c r="K104" s="38">
        <v>0.92974588938714497</v>
      </c>
    </row>
    <row r="105" spans="1:11" x14ac:dyDescent="0.3">
      <c r="A105" t="str">
        <f>'Dane corrupted'!B101</f>
        <v>MNIST-C (Glass Blur)</v>
      </c>
      <c r="B105" t="str">
        <f>'Dane corrupted'!C101</f>
        <v>XGBoost</v>
      </c>
      <c r="C105" t="str">
        <f>'Dane corrupted'!D101</f>
        <v>UMAP</v>
      </c>
      <c r="D105">
        <f>'Dane corrupted'!K101</f>
        <v>0.94640000000000002</v>
      </c>
      <c r="F105" s="2" t="s">
        <v>22</v>
      </c>
      <c r="G105" s="38">
        <v>0.92526158445440898</v>
      </c>
      <c r="H105" s="38">
        <v>0.92127553562531095</v>
      </c>
      <c r="I105" s="38">
        <v>0.90333831589436897</v>
      </c>
      <c r="J105" s="38">
        <v>0.94170403587443896</v>
      </c>
      <c r="K105" s="38">
        <v>0.92227204783258598</v>
      </c>
    </row>
    <row r="106" spans="1:11" x14ac:dyDescent="0.3">
      <c r="A106" t="s">
        <v>32</v>
      </c>
      <c r="B106" t="s">
        <v>38</v>
      </c>
      <c r="C106" t="s">
        <v>33</v>
      </c>
      <c r="D106" t="s">
        <v>34</v>
      </c>
      <c r="F106" s="2" t="s">
        <v>23</v>
      </c>
      <c r="G106" s="38">
        <v>0.92725460886895805</v>
      </c>
      <c r="H106" s="38">
        <v>0.90383657199800604</v>
      </c>
      <c r="I106" s="38">
        <v>0.90284005979073201</v>
      </c>
      <c r="J106" s="38">
        <v>0.95117090184354702</v>
      </c>
      <c r="K106" s="38">
        <v>0.92625809666168402</v>
      </c>
    </row>
    <row r="107" spans="1:11" x14ac:dyDescent="0.3">
      <c r="A107" t="str">
        <f>'Dane corrupted'!B102</f>
        <v>MNIST-C (Identity)</v>
      </c>
      <c r="B107" t="str">
        <f>'Dane corrupted'!C102</f>
        <v>K-Nearest Neighbors</v>
      </c>
      <c r="C107" t="str">
        <f>'Dane corrupted'!D102</f>
        <v>Brak redukcji</v>
      </c>
      <c r="D107">
        <f>'Dane corrupted'!K102</f>
        <v>0.95760000000000001</v>
      </c>
      <c r="F107" s="2" t="s">
        <v>21</v>
      </c>
      <c r="G107" s="38">
        <v>0.92277030393622295</v>
      </c>
      <c r="H107" s="38">
        <v>0.92227204783258598</v>
      </c>
      <c r="I107" s="38">
        <v>0.90034877927254597</v>
      </c>
      <c r="J107" s="38">
        <v>0.92874937717987005</v>
      </c>
      <c r="K107" s="38">
        <v>0.92526158445440898</v>
      </c>
    </row>
    <row r="108" spans="1:11" x14ac:dyDescent="0.3">
      <c r="A108" t="str">
        <f>'Dane corrupted'!B103</f>
        <v>MNIST-C (Identity)</v>
      </c>
      <c r="B108" t="str">
        <f>'Dane corrupted'!C103</f>
        <v>K-Nearest Neighbors</v>
      </c>
      <c r="C108" t="str">
        <f>'Dane corrupted'!D103</f>
        <v>Flood Fill</v>
      </c>
      <c r="D108">
        <f>'Dane corrupted'!K103</f>
        <v>0.95820000000000005</v>
      </c>
    </row>
    <row r="109" spans="1:11" x14ac:dyDescent="0.3">
      <c r="A109" t="str">
        <f>'Dane corrupted'!B104</f>
        <v>MNIST-C (Identity)</v>
      </c>
      <c r="B109" t="str">
        <f>'Dane corrupted'!C104</f>
        <v>K-Nearest Neighbors</v>
      </c>
      <c r="C109" t="str">
        <f>'Dane corrupted'!D104</f>
        <v>LDA</v>
      </c>
      <c r="D109">
        <f>'Dane corrupted'!K104</f>
        <v>0.91449999999999998</v>
      </c>
    </row>
    <row r="110" spans="1:11" x14ac:dyDescent="0.3">
      <c r="A110" t="str">
        <f>'Dane corrupted'!B105</f>
        <v>MNIST-C (Identity)</v>
      </c>
      <c r="B110" t="str">
        <f>'Dane corrupted'!C105</f>
        <v>K-Nearest Neighbors</v>
      </c>
      <c r="C110" t="str">
        <f>'Dane corrupted'!D105</f>
        <v>PCA</v>
      </c>
      <c r="D110">
        <f>'Dane corrupted'!K105</f>
        <v>0.97440000000000004</v>
      </c>
    </row>
    <row r="111" spans="1:11" x14ac:dyDescent="0.3">
      <c r="A111" t="str">
        <f>'Dane corrupted'!B106</f>
        <v>MNIST-C (Identity)</v>
      </c>
      <c r="B111" t="str">
        <f>'Dane corrupted'!C106</f>
        <v>K-Nearest Neighbors</v>
      </c>
      <c r="C111" t="str">
        <f>'Dane corrupted'!D106</f>
        <v>UMAP</v>
      </c>
      <c r="D111">
        <f>'Dane corrupted'!K106</f>
        <v>0.95489999999999997</v>
      </c>
    </row>
    <row r="112" spans="1:11" x14ac:dyDescent="0.3">
      <c r="A112" t="str">
        <f>'Dane corrupted'!B107</f>
        <v>MNIST-C (Identity)</v>
      </c>
      <c r="B112" t="str">
        <f>'Dane corrupted'!C107</f>
        <v>Multi-Layer Perceptron</v>
      </c>
      <c r="C112" t="str">
        <f>'Dane corrupted'!D107</f>
        <v>Brak redukcji</v>
      </c>
      <c r="D112">
        <f>'Dane corrupted'!K107</f>
        <v>0.97399999999999998</v>
      </c>
    </row>
    <row r="113" spans="1:11" x14ac:dyDescent="0.3">
      <c r="A113" t="str">
        <f>'Dane corrupted'!B108</f>
        <v>MNIST-C (Identity)</v>
      </c>
      <c r="B113" t="str">
        <f>'Dane corrupted'!C108</f>
        <v>Multi-Layer Perceptron</v>
      </c>
      <c r="C113" t="str">
        <f>'Dane corrupted'!D108</f>
        <v>Flood Fill</v>
      </c>
      <c r="D113">
        <f>'Dane corrupted'!K108</f>
        <v>0.9778</v>
      </c>
    </row>
    <row r="114" spans="1:11" x14ac:dyDescent="0.3">
      <c r="A114" t="str">
        <f>'Dane corrupted'!B109</f>
        <v>MNIST-C (Identity)</v>
      </c>
      <c r="B114" t="str">
        <f>'Dane corrupted'!C109</f>
        <v>Multi-Layer Perceptron</v>
      </c>
      <c r="C114" t="str">
        <f>'Dane corrupted'!D109</f>
        <v>LDA</v>
      </c>
      <c r="D114">
        <f>'Dane corrupted'!K109</f>
        <v>0.90659999999999996</v>
      </c>
    </row>
    <row r="115" spans="1:11" x14ac:dyDescent="0.3">
      <c r="A115" t="str">
        <f>'Dane corrupted'!B110</f>
        <v>MNIST-C (Identity)</v>
      </c>
      <c r="B115" t="str">
        <f>'Dane corrupted'!C110</f>
        <v>Multi-Layer Perceptron</v>
      </c>
      <c r="C115" t="str">
        <f>'Dane corrupted'!D110</f>
        <v>PCA</v>
      </c>
      <c r="D115">
        <f>'Dane corrupted'!K110</f>
        <v>0.98440000000000005</v>
      </c>
    </row>
    <row r="116" spans="1:11" x14ac:dyDescent="0.3">
      <c r="A116" t="str">
        <f>'Dane corrupted'!B111</f>
        <v>MNIST-C (Identity)</v>
      </c>
      <c r="B116" t="str">
        <f>'Dane corrupted'!C111</f>
        <v>Multi-Layer Perceptron</v>
      </c>
      <c r="C116" t="str">
        <f>'Dane corrupted'!D111</f>
        <v>UMAP</v>
      </c>
      <c r="D116">
        <f>'Dane corrupted'!K111</f>
        <v>0.95409999999999995</v>
      </c>
    </row>
    <row r="117" spans="1:11" x14ac:dyDescent="0.3">
      <c r="A117" t="str">
        <f>'Dane corrupted'!B112</f>
        <v>MNIST-C (Identity)</v>
      </c>
      <c r="B117" t="str">
        <f>'Dane corrupted'!C112</f>
        <v>Support Vector Machine</v>
      </c>
      <c r="C117" t="str">
        <f>'Dane corrupted'!D112</f>
        <v>Brak redukcji</v>
      </c>
      <c r="D117">
        <f>'Dane corrupted'!K112</f>
        <v>0.97689999999999999</v>
      </c>
    </row>
    <row r="118" spans="1:11" x14ac:dyDescent="0.3">
      <c r="A118" t="str">
        <f>'Dane corrupted'!B113</f>
        <v>MNIST-C (Identity)</v>
      </c>
      <c r="B118" t="str">
        <f>'Dane corrupted'!C113</f>
        <v>Support Vector Machine</v>
      </c>
      <c r="C118" t="str">
        <f>'Dane corrupted'!D113</f>
        <v>Flood Fill</v>
      </c>
      <c r="D118">
        <f>'Dane corrupted'!K113</f>
        <v>0.97160000000000002</v>
      </c>
    </row>
    <row r="119" spans="1:11" x14ac:dyDescent="0.3">
      <c r="A119" t="str">
        <f>'Dane corrupted'!B114</f>
        <v>MNIST-C (Identity)</v>
      </c>
      <c r="B119" t="str">
        <f>'Dane corrupted'!C114</f>
        <v>Support Vector Machine</v>
      </c>
      <c r="C119" t="str">
        <f>'Dane corrupted'!D114</f>
        <v>LDA</v>
      </c>
      <c r="D119">
        <f>'Dane corrupted'!K114</f>
        <v>0.92149999999999999</v>
      </c>
    </row>
    <row r="120" spans="1:11" x14ac:dyDescent="0.3">
      <c r="A120" t="str">
        <f>'Dane corrupted'!B115</f>
        <v>MNIST-C (Identity)</v>
      </c>
      <c r="B120" t="str">
        <f>'Dane corrupted'!C115</f>
        <v>Support Vector Machine</v>
      </c>
      <c r="C120" t="str">
        <f>'Dane corrupted'!D115</f>
        <v>PCA</v>
      </c>
      <c r="D120">
        <f>'Dane corrupted'!K115</f>
        <v>0.98280000000000001</v>
      </c>
    </row>
    <row r="121" spans="1:11" x14ac:dyDescent="0.3">
      <c r="A121" t="str">
        <f>'Dane corrupted'!B116</f>
        <v>MNIST-C (Identity)</v>
      </c>
      <c r="B121" t="str">
        <f>'Dane corrupted'!C116</f>
        <v>Support Vector Machine</v>
      </c>
      <c r="C121" t="str">
        <f>'Dane corrupted'!D116</f>
        <v>UMAP</v>
      </c>
      <c r="D121">
        <f>'Dane corrupted'!K116</f>
        <v>0.95409999999999995</v>
      </c>
    </row>
    <row r="122" spans="1:11" x14ac:dyDescent="0.3">
      <c r="A122" t="str">
        <f>'Dane corrupted'!B117</f>
        <v>MNIST-C (Identity)</v>
      </c>
      <c r="B122" t="str">
        <f>'Dane corrupted'!C117</f>
        <v>XGBoost</v>
      </c>
      <c r="C122" t="str">
        <f>'Dane corrupted'!D117</f>
        <v>Brak redukcji</v>
      </c>
      <c r="D122">
        <f>'Dane corrupted'!K117</f>
        <v>0.96540000000000004</v>
      </c>
    </row>
    <row r="123" spans="1:11" x14ac:dyDescent="0.3">
      <c r="A123" t="str">
        <f>'Dane corrupted'!B118</f>
        <v>MNIST-C (Identity)</v>
      </c>
      <c r="B123" t="str">
        <f>'Dane corrupted'!C118</f>
        <v>XGBoost</v>
      </c>
      <c r="C123" t="str">
        <f>'Dane corrupted'!D118</f>
        <v>Flood Fill</v>
      </c>
      <c r="D123">
        <f>'Dane corrupted'!K118</f>
        <v>0.97570000000000001</v>
      </c>
    </row>
    <row r="124" spans="1:11" x14ac:dyDescent="0.3">
      <c r="A124" t="str">
        <f>'Dane corrupted'!B119</f>
        <v>MNIST-C (Identity)</v>
      </c>
      <c r="B124" t="str">
        <f>'Dane corrupted'!C119</f>
        <v>XGBoost</v>
      </c>
      <c r="C124" t="str">
        <f>'Dane corrupted'!D119</f>
        <v>LDA</v>
      </c>
      <c r="D124">
        <f>'Dane corrupted'!K119</f>
        <v>0.91279999999999994</v>
      </c>
    </row>
    <row r="125" spans="1:11" x14ac:dyDescent="0.3">
      <c r="A125" t="str">
        <f>'Dane corrupted'!B120</f>
        <v>MNIST-C (Identity)</v>
      </c>
      <c r="B125" t="str">
        <f>'Dane corrupted'!C120</f>
        <v>XGBoost</v>
      </c>
      <c r="C125" t="str">
        <f>'Dane corrupted'!D120</f>
        <v>PCA</v>
      </c>
      <c r="D125">
        <f>'Dane corrupted'!K120</f>
        <v>0.95509999999999995</v>
      </c>
    </row>
    <row r="126" spans="1:11" x14ac:dyDescent="0.3">
      <c r="A126" t="str">
        <f>'Dane corrupted'!B121</f>
        <v>MNIST-C (Identity)</v>
      </c>
      <c r="B126" t="str">
        <f>'Dane corrupted'!C121</f>
        <v>XGBoost</v>
      </c>
      <c r="C126" t="str">
        <f>'Dane corrupted'!D121</f>
        <v>UMAP</v>
      </c>
      <c r="D126">
        <f>'Dane corrupted'!K121</f>
        <v>0.9556</v>
      </c>
    </row>
    <row r="127" spans="1:11" x14ac:dyDescent="0.3">
      <c r="A127" t="s">
        <v>32</v>
      </c>
      <c r="B127" t="s">
        <v>38</v>
      </c>
      <c r="C127" t="s">
        <v>33</v>
      </c>
      <c r="D127" t="s">
        <v>34</v>
      </c>
      <c r="F127" s="1" t="s">
        <v>56</v>
      </c>
      <c r="G127" s="1" t="s">
        <v>35</v>
      </c>
    </row>
    <row r="128" spans="1:11" x14ac:dyDescent="0.3">
      <c r="A128" t="str">
        <f>'Dane corrupted'!B122</f>
        <v>MNIST-C (Impulse Noise)</v>
      </c>
      <c r="B128" t="str">
        <f>'Dane corrupted'!C122</f>
        <v>K-Nearest Neighbors</v>
      </c>
      <c r="C128" t="str">
        <f>'Dane corrupted'!D122</f>
        <v>Brak redukcji</v>
      </c>
      <c r="D128">
        <f>'Dane corrupted'!K122</f>
        <v>0.91620000000000001</v>
      </c>
      <c r="F128" s="1" t="s">
        <v>36</v>
      </c>
      <c r="G128" t="s">
        <v>20</v>
      </c>
      <c r="H128" t="s">
        <v>26</v>
      </c>
      <c r="I128" t="s">
        <v>25</v>
      </c>
      <c r="J128" t="s">
        <v>24</v>
      </c>
      <c r="K128" t="s">
        <v>39</v>
      </c>
    </row>
    <row r="129" spans="1:11" x14ac:dyDescent="0.3">
      <c r="A129" t="str">
        <f>'Dane corrupted'!B123</f>
        <v>MNIST-C (Impulse Noise)</v>
      </c>
      <c r="B129" t="str">
        <f>'Dane corrupted'!C123</f>
        <v>K-Nearest Neighbors</v>
      </c>
      <c r="C129" t="str">
        <f>'Dane corrupted'!D123</f>
        <v>Flood Fill</v>
      </c>
      <c r="D129">
        <f>'Dane corrupted'!K123</f>
        <v>0.91820000000000002</v>
      </c>
      <c r="F129" s="2" t="s">
        <v>19</v>
      </c>
      <c r="G129" s="38">
        <v>0.91620000000000001</v>
      </c>
      <c r="H129" s="38">
        <v>0.91820000000000002</v>
      </c>
      <c r="I129" s="38">
        <v>0.87609999999999999</v>
      </c>
      <c r="J129" s="38">
        <v>0.9647</v>
      </c>
      <c r="K129" s="38">
        <v>0.92820000000000003</v>
      </c>
    </row>
    <row r="130" spans="1:11" x14ac:dyDescent="0.3">
      <c r="A130" t="str">
        <f>'Dane corrupted'!B124</f>
        <v>MNIST-C (Impulse Noise)</v>
      </c>
      <c r="B130" t="str">
        <f>'Dane corrupted'!C124</f>
        <v>K-Nearest Neighbors</v>
      </c>
      <c r="C130" t="str">
        <f>'Dane corrupted'!D124</f>
        <v>LDA</v>
      </c>
      <c r="D130">
        <f>'Dane corrupted'!K124</f>
        <v>0.87609999999999999</v>
      </c>
      <c r="F130" s="2" t="s">
        <v>22</v>
      </c>
      <c r="G130" s="38">
        <v>0.94469999999999998</v>
      </c>
      <c r="H130" s="38">
        <v>0.93710000000000004</v>
      </c>
      <c r="I130" s="38">
        <v>0.85409999999999997</v>
      </c>
      <c r="J130" s="38">
        <v>0.97270000000000001</v>
      </c>
      <c r="K130" s="38">
        <v>0.92210000000000003</v>
      </c>
    </row>
    <row r="131" spans="1:11" x14ac:dyDescent="0.3">
      <c r="A131" t="str">
        <f>'Dane corrupted'!B125</f>
        <v>MNIST-C (Impulse Noise)</v>
      </c>
      <c r="B131" t="str">
        <f>'Dane corrupted'!C125</f>
        <v>K-Nearest Neighbors</v>
      </c>
      <c r="C131" t="str">
        <f>'Dane corrupted'!D125</f>
        <v>PCA</v>
      </c>
      <c r="D131">
        <f>'Dane corrupted'!K125</f>
        <v>0.9647</v>
      </c>
      <c r="F131" s="2" t="s">
        <v>23</v>
      </c>
      <c r="G131" s="38">
        <v>0.9405</v>
      </c>
      <c r="H131" s="38">
        <v>0.93430000000000002</v>
      </c>
      <c r="I131" s="38">
        <v>0.89190000000000003</v>
      </c>
      <c r="J131" s="38">
        <v>0.97319999999999995</v>
      </c>
      <c r="K131" s="38">
        <v>0.92120000000000002</v>
      </c>
    </row>
    <row r="132" spans="1:11" x14ac:dyDescent="0.3">
      <c r="A132" t="str">
        <f>'Dane corrupted'!B126</f>
        <v>MNIST-C (Impulse Noise)</v>
      </c>
      <c r="B132" t="str">
        <f>'Dane corrupted'!C126</f>
        <v>K-Nearest Neighbors</v>
      </c>
      <c r="C132" t="str">
        <f>'Dane corrupted'!D126</f>
        <v>UMAP</v>
      </c>
      <c r="D132">
        <f>'Dane corrupted'!K126</f>
        <v>0.92820000000000003</v>
      </c>
      <c r="F132" s="2" t="s">
        <v>21</v>
      </c>
      <c r="G132" s="38">
        <v>0.93089999999999995</v>
      </c>
      <c r="H132" s="38">
        <v>0.93759999999999999</v>
      </c>
      <c r="I132" s="38">
        <v>0.88349999999999995</v>
      </c>
      <c r="J132" s="38">
        <v>0.93500000000000005</v>
      </c>
      <c r="K132" s="38">
        <v>0.93340000000000001</v>
      </c>
    </row>
    <row r="133" spans="1:11" x14ac:dyDescent="0.3">
      <c r="A133" t="str">
        <f>'Dane corrupted'!B127</f>
        <v>MNIST-C (Impulse Noise)</v>
      </c>
      <c r="B133" t="str">
        <f>'Dane corrupted'!C127</f>
        <v>Multi-Layer Perceptron</v>
      </c>
      <c r="C133" t="str">
        <f>'Dane corrupted'!D127</f>
        <v>Brak redukcji</v>
      </c>
      <c r="D133">
        <f>'Dane corrupted'!K127</f>
        <v>0.94469999999999998</v>
      </c>
    </row>
    <row r="134" spans="1:11" x14ac:dyDescent="0.3">
      <c r="A134" t="str">
        <f>'Dane corrupted'!B128</f>
        <v>MNIST-C (Impulse Noise)</v>
      </c>
      <c r="B134" t="str">
        <f>'Dane corrupted'!C128</f>
        <v>Multi-Layer Perceptron</v>
      </c>
      <c r="C134" t="str">
        <f>'Dane corrupted'!D128</f>
        <v>Flood Fill</v>
      </c>
      <c r="D134">
        <f>'Dane corrupted'!K128</f>
        <v>0.93710000000000004</v>
      </c>
    </row>
    <row r="135" spans="1:11" x14ac:dyDescent="0.3">
      <c r="A135" t="str">
        <f>'Dane corrupted'!B129</f>
        <v>MNIST-C (Impulse Noise)</v>
      </c>
      <c r="B135" t="str">
        <f>'Dane corrupted'!C129</f>
        <v>Multi-Layer Perceptron</v>
      </c>
      <c r="C135" t="str">
        <f>'Dane corrupted'!D129</f>
        <v>LDA</v>
      </c>
      <c r="D135">
        <f>'Dane corrupted'!K129</f>
        <v>0.85409999999999997</v>
      </c>
    </row>
    <row r="136" spans="1:11" x14ac:dyDescent="0.3">
      <c r="A136" t="str">
        <f>'Dane corrupted'!B130</f>
        <v>MNIST-C (Impulse Noise)</v>
      </c>
      <c r="B136" t="str">
        <f>'Dane corrupted'!C130</f>
        <v>Multi-Layer Perceptron</v>
      </c>
      <c r="C136" t="str">
        <f>'Dane corrupted'!D130</f>
        <v>PCA</v>
      </c>
      <c r="D136">
        <f>'Dane corrupted'!K130</f>
        <v>0.97270000000000001</v>
      </c>
    </row>
    <row r="137" spans="1:11" x14ac:dyDescent="0.3">
      <c r="A137" t="str">
        <f>'Dane corrupted'!B131</f>
        <v>MNIST-C (Impulse Noise)</v>
      </c>
      <c r="B137" t="str">
        <f>'Dane corrupted'!C131</f>
        <v>Multi-Layer Perceptron</v>
      </c>
      <c r="C137" t="str">
        <f>'Dane corrupted'!D131</f>
        <v>UMAP</v>
      </c>
      <c r="D137">
        <f>'Dane corrupted'!K131</f>
        <v>0.92210000000000003</v>
      </c>
    </row>
    <row r="138" spans="1:11" x14ac:dyDescent="0.3">
      <c r="A138" t="str">
        <f>'Dane corrupted'!B132</f>
        <v>MNIST-C (Impulse Noise)</v>
      </c>
      <c r="B138" t="str">
        <f>'Dane corrupted'!C132</f>
        <v>Support Vector Machine</v>
      </c>
      <c r="C138" t="str">
        <f>'Dane corrupted'!D132</f>
        <v>Brak redukcji</v>
      </c>
      <c r="D138">
        <f>'Dane corrupted'!K132</f>
        <v>0.9405</v>
      </c>
    </row>
    <row r="139" spans="1:11" x14ac:dyDescent="0.3">
      <c r="A139" t="str">
        <f>'Dane corrupted'!B133</f>
        <v>MNIST-C (Impulse Noise)</v>
      </c>
      <c r="B139" t="str">
        <f>'Dane corrupted'!C133</f>
        <v>Support Vector Machine</v>
      </c>
      <c r="C139" t="str">
        <f>'Dane corrupted'!D133</f>
        <v>Flood Fill</v>
      </c>
      <c r="D139">
        <f>'Dane corrupted'!K133</f>
        <v>0.93430000000000002</v>
      </c>
    </row>
    <row r="140" spans="1:11" x14ac:dyDescent="0.3">
      <c r="A140" t="str">
        <f>'Dane corrupted'!B134</f>
        <v>MNIST-C (Impulse Noise)</v>
      </c>
      <c r="B140" t="str">
        <f>'Dane corrupted'!C134</f>
        <v>Support Vector Machine</v>
      </c>
      <c r="C140" t="str">
        <f>'Dane corrupted'!D134</f>
        <v>LDA</v>
      </c>
      <c r="D140">
        <f>'Dane corrupted'!K134</f>
        <v>0.89190000000000003</v>
      </c>
    </row>
    <row r="141" spans="1:11" x14ac:dyDescent="0.3">
      <c r="A141" t="str">
        <f>'Dane corrupted'!B135</f>
        <v>MNIST-C (Impulse Noise)</v>
      </c>
      <c r="B141" t="str">
        <f>'Dane corrupted'!C135</f>
        <v>Support Vector Machine</v>
      </c>
      <c r="C141" t="str">
        <f>'Dane corrupted'!D135</f>
        <v>PCA</v>
      </c>
      <c r="D141">
        <f>'Dane corrupted'!K135</f>
        <v>0.97319999999999995</v>
      </c>
    </row>
    <row r="142" spans="1:11" x14ac:dyDescent="0.3">
      <c r="A142" t="str">
        <f>'Dane corrupted'!B136</f>
        <v>MNIST-C (Impulse Noise)</v>
      </c>
      <c r="B142" t="str">
        <f>'Dane corrupted'!C136</f>
        <v>Support Vector Machine</v>
      </c>
      <c r="C142" t="str">
        <f>'Dane corrupted'!D136</f>
        <v>UMAP</v>
      </c>
      <c r="D142">
        <f>'Dane corrupted'!K136</f>
        <v>0.92120000000000002</v>
      </c>
    </row>
    <row r="143" spans="1:11" x14ac:dyDescent="0.3">
      <c r="A143" t="str">
        <f>'Dane corrupted'!B137</f>
        <v>MNIST-C (Impulse Noise)</v>
      </c>
      <c r="B143" t="str">
        <f>'Dane corrupted'!C137</f>
        <v>XGBoost</v>
      </c>
      <c r="C143" t="str">
        <f>'Dane corrupted'!D137</f>
        <v>Brak redukcji</v>
      </c>
      <c r="D143">
        <f>'Dane corrupted'!K137</f>
        <v>0.93089999999999995</v>
      </c>
    </row>
    <row r="144" spans="1:11" x14ac:dyDescent="0.3">
      <c r="A144" t="str">
        <f>'Dane corrupted'!B138</f>
        <v>MNIST-C (Impulse Noise)</v>
      </c>
      <c r="B144" t="str">
        <f>'Dane corrupted'!C138</f>
        <v>XGBoost</v>
      </c>
      <c r="C144" t="str">
        <f>'Dane corrupted'!D138</f>
        <v>Flood Fill</v>
      </c>
      <c r="D144">
        <f>'Dane corrupted'!K138</f>
        <v>0.93759999999999999</v>
      </c>
    </row>
    <row r="145" spans="1:11" x14ac:dyDescent="0.3">
      <c r="A145" t="str">
        <f>'Dane corrupted'!B139</f>
        <v>MNIST-C (Impulse Noise)</v>
      </c>
      <c r="B145" t="str">
        <f>'Dane corrupted'!C139</f>
        <v>XGBoost</v>
      </c>
      <c r="C145" t="str">
        <f>'Dane corrupted'!D139</f>
        <v>LDA</v>
      </c>
      <c r="D145">
        <f>'Dane corrupted'!K139</f>
        <v>0.88349999999999995</v>
      </c>
    </row>
    <row r="146" spans="1:11" x14ac:dyDescent="0.3">
      <c r="A146" t="str">
        <f>'Dane corrupted'!B140</f>
        <v>MNIST-C (Impulse Noise)</v>
      </c>
      <c r="B146" t="str">
        <f>'Dane corrupted'!C140</f>
        <v>XGBoost</v>
      </c>
      <c r="C146" t="str">
        <f>'Dane corrupted'!D140</f>
        <v>PCA</v>
      </c>
      <c r="D146">
        <f>'Dane corrupted'!K140</f>
        <v>0.93500000000000005</v>
      </c>
    </row>
    <row r="147" spans="1:11" x14ac:dyDescent="0.3">
      <c r="A147" t="str">
        <f>'Dane corrupted'!B141</f>
        <v>MNIST-C (Impulse Noise)</v>
      </c>
      <c r="B147" t="str">
        <f>'Dane corrupted'!C141</f>
        <v>XGBoost</v>
      </c>
      <c r="C147" t="str">
        <f>'Dane corrupted'!D141</f>
        <v>UMAP</v>
      </c>
      <c r="D147">
        <f>'Dane corrupted'!K141</f>
        <v>0.93340000000000001</v>
      </c>
    </row>
    <row r="148" spans="1:11" x14ac:dyDescent="0.3">
      <c r="A148" t="s">
        <v>32</v>
      </c>
      <c r="B148" t="s">
        <v>38</v>
      </c>
      <c r="C148" t="s">
        <v>33</v>
      </c>
      <c r="D148" t="s">
        <v>34</v>
      </c>
      <c r="F148" s="1" t="s">
        <v>56</v>
      </c>
      <c r="G148" s="1" t="s">
        <v>35</v>
      </c>
    </row>
    <row r="149" spans="1:11" x14ac:dyDescent="0.3">
      <c r="A149" t="str">
        <f>'Dane corrupted'!B142</f>
        <v>MNIST-C (Motion Blur)</v>
      </c>
      <c r="B149" t="str">
        <f>'Dane corrupted'!C142</f>
        <v>K-Nearest Neighbors</v>
      </c>
      <c r="C149" t="str">
        <f>'Dane corrupted'!D142</f>
        <v>Brak redukcji</v>
      </c>
      <c r="D149">
        <f>'Dane corrupted'!K142</f>
        <v>0.87890000000000001</v>
      </c>
      <c r="F149" s="1" t="s">
        <v>36</v>
      </c>
      <c r="G149" t="s">
        <v>20</v>
      </c>
      <c r="H149" t="s">
        <v>26</v>
      </c>
      <c r="I149" t="s">
        <v>25</v>
      </c>
      <c r="J149" t="s">
        <v>24</v>
      </c>
      <c r="K149" t="s">
        <v>39</v>
      </c>
    </row>
    <row r="150" spans="1:11" x14ac:dyDescent="0.3">
      <c r="A150" t="str">
        <f>'Dane corrupted'!B143</f>
        <v>MNIST-C (Motion Blur)</v>
      </c>
      <c r="B150" t="str">
        <f>'Dane corrupted'!C143</f>
        <v>K-Nearest Neighbors</v>
      </c>
      <c r="C150" t="str">
        <f>'Dane corrupted'!D143</f>
        <v>Flood Fill</v>
      </c>
      <c r="D150">
        <f>'Dane corrupted'!K143</f>
        <v>0.92220000000000002</v>
      </c>
      <c r="F150" s="2" t="s">
        <v>19</v>
      </c>
      <c r="G150" s="38">
        <v>0.87890000000000001</v>
      </c>
      <c r="H150" s="38">
        <v>0.92220000000000002</v>
      </c>
      <c r="I150" s="38">
        <v>0.89080000000000004</v>
      </c>
      <c r="J150" s="38">
        <v>0.96289999999999998</v>
      </c>
      <c r="K150" s="38">
        <v>0.94220000000000004</v>
      </c>
    </row>
    <row r="151" spans="1:11" x14ac:dyDescent="0.3">
      <c r="A151" t="str">
        <f>'Dane corrupted'!B144</f>
        <v>MNIST-C (Motion Blur)</v>
      </c>
      <c r="B151" t="str">
        <f>'Dane corrupted'!C144</f>
        <v>K-Nearest Neighbors</v>
      </c>
      <c r="C151" t="str">
        <f>'Dane corrupted'!D144</f>
        <v>LDA</v>
      </c>
      <c r="D151">
        <f>'Dane corrupted'!K144</f>
        <v>0.89080000000000004</v>
      </c>
      <c r="F151" s="2" t="s">
        <v>22</v>
      </c>
      <c r="G151" s="38">
        <v>0.91469999999999996</v>
      </c>
      <c r="H151" s="38">
        <v>0.95899999999999996</v>
      </c>
      <c r="I151" s="38">
        <v>0.87450000000000006</v>
      </c>
      <c r="J151" s="38">
        <v>0.97870000000000001</v>
      </c>
      <c r="K151" s="38">
        <v>0.94010000000000005</v>
      </c>
    </row>
    <row r="152" spans="1:11" x14ac:dyDescent="0.3">
      <c r="A152" t="str">
        <f>'Dane corrupted'!B145</f>
        <v>MNIST-C (Motion Blur)</v>
      </c>
      <c r="B152" t="str">
        <f>'Dane corrupted'!C145</f>
        <v>K-Nearest Neighbors</v>
      </c>
      <c r="C152" t="str">
        <f>'Dane corrupted'!D145</f>
        <v>PCA</v>
      </c>
      <c r="D152">
        <f>'Dane corrupted'!K145</f>
        <v>0.96289999999999998</v>
      </c>
      <c r="F152" s="2" t="s">
        <v>23</v>
      </c>
      <c r="G152" s="38">
        <v>0.93120000000000003</v>
      </c>
      <c r="H152" s="38">
        <v>0.94199999999999995</v>
      </c>
      <c r="I152" s="38">
        <v>0.89370000000000005</v>
      </c>
      <c r="J152" s="38">
        <v>0.97829999999999995</v>
      </c>
      <c r="K152" s="38">
        <v>0.94089999999999996</v>
      </c>
    </row>
    <row r="153" spans="1:11" x14ac:dyDescent="0.3">
      <c r="A153" t="str">
        <f>'Dane corrupted'!B146</f>
        <v>MNIST-C (Motion Blur)</v>
      </c>
      <c r="B153" t="str">
        <f>'Dane corrupted'!C146</f>
        <v>K-Nearest Neighbors</v>
      </c>
      <c r="C153" t="str">
        <f>'Dane corrupted'!D146</f>
        <v>UMAP</v>
      </c>
      <c r="D153">
        <f>'Dane corrupted'!K146</f>
        <v>0.94220000000000004</v>
      </c>
      <c r="F153" s="2" t="s">
        <v>21</v>
      </c>
      <c r="G153" s="38">
        <v>0.90949999999999998</v>
      </c>
      <c r="H153" s="38">
        <v>0.95350000000000001</v>
      </c>
      <c r="I153" s="38">
        <v>0.88690000000000002</v>
      </c>
      <c r="J153" s="38">
        <v>0.94679999999999997</v>
      </c>
      <c r="K153" s="38">
        <v>0.94230000000000003</v>
      </c>
    </row>
    <row r="154" spans="1:11" x14ac:dyDescent="0.3">
      <c r="A154" t="str">
        <f>'Dane corrupted'!B147</f>
        <v>MNIST-C (Motion Blur)</v>
      </c>
      <c r="B154" t="str">
        <f>'Dane corrupted'!C147</f>
        <v>Multi-Layer Perceptron</v>
      </c>
      <c r="C154" t="str">
        <f>'Dane corrupted'!D147</f>
        <v>Brak redukcji</v>
      </c>
      <c r="D154">
        <f>'Dane corrupted'!K147</f>
        <v>0.91469999999999996</v>
      </c>
    </row>
    <row r="155" spans="1:11" x14ac:dyDescent="0.3">
      <c r="A155" t="str">
        <f>'Dane corrupted'!B148</f>
        <v>MNIST-C (Motion Blur)</v>
      </c>
      <c r="B155" t="str">
        <f>'Dane corrupted'!C148</f>
        <v>Multi-Layer Perceptron</v>
      </c>
      <c r="C155" t="str">
        <f>'Dane corrupted'!D148</f>
        <v>Flood Fill</v>
      </c>
      <c r="D155">
        <f>'Dane corrupted'!K148</f>
        <v>0.95899999999999996</v>
      </c>
    </row>
    <row r="156" spans="1:11" x14ac:dyDescent="0.3">
      <c r="A156" t="str">
        <f>'Dane corrupted'!B149</f>
        <v>MNIST-C (Motion Blur)</v>
      </c>
      <c r="B156" t="str">
        <f>'Dane corrupted'!C149</f>
        <v>Multi-Layer Perceptron</v>
      </c>
      <c r="C156" t="str">
        <f>'Dane corrupted'!D149</f>
        <v>LDA</v>
      </c>
      <c r="D156">
        <f>'Dane corrupted'!K149</f>
        <v>0.87450000000000006</v>
      </c>
    </row>
    <row r="157" spans="1:11" x14ac:dyDescent="0.3">
      <c r="A157" t="str">
        <f>'Dane corrupted'!B150</f>
        <v>MNIST-C (Motion Blur)</v>
      </c>
      <c r="B157" t="str">
        <f>'Dane corrupted'!C150</f>
        <v>Multi-Layer Perceptron</v>
      </c>
      <c r="C157" t="str">
        <f>'Dane corrupted'!D150</f>
        <v>PCA</v>
      </c>
      <c r="D157">
        <f>'Dane corrupted'!K150</f>
        <v>0.97870000000000001</v>
      </c>
    </row>
    <row r="158" spans="1:11" x14ac:dyDescent="0.3">
      <c r="A158" t="str">
        <f>'Dane corrupted'!B151</f>
        <v>MNIST-C (Motion Blur)</v>
      </c>
      <c r="B158" t="str">
        <f>'Dane corrupted'!C151</f>
        <v>Multi-Layer Perceptron</v>
      </c>
      <c r="C158" t="str">
        <f>'Dane corrupted'!D151</f>
        <v>UMAP</v>
      </c>
      <c r="D158">
        <f>'Dane corrupted'!K151</f>
        <v>0.94010000000000005</v>
      </c>
    </row>
    <row r="159" spans="1:11" x14ac:dyDescent="0.3">
      <c r="A159" t="str">
        <f>'Dane corrupted'!B152</f>
        <v>MNIST-C (Motion Blur)</v>
      </c>
      <c r="B159" t="str">
        <f>'Dane corrupted'!C152</f>
        <v>Support Vector Machine</v>
      </c>
      <c r="C159" t="str">
        <f>'Dane corrupted'!D152</f>
        <v>Brak redukcji</v>
      </c>
      <c r="D159">
        <f>'Dane corrupted'!K152</f>
        <v>0.93120000000000003</v>
      </c>
    </row>
    <row r="160" spans="1:11" x14ac:dyDescent="0.3">
      <c r="A160" t="str">
        <f>'Dane corrupted'!B153</f>
        <v>MNIST-C (Motion Blur)</v>
      </c>
      <c r="B160" t="str">
        <f>'Dane corrupted'!C153</f>
        <v>Support Vector Machine</v>
      </c>
      <c r="C160" t="str">
        <f>'Dane corrupted'!D153</f>
        <v>Flood Fill</v>
      </c>
      <c r="D160">
        <f>'Dane corrupted'!K153</f>
        <v>0.94199999999999995</v>
      </c>
    </row>
    <row r="161" spans="1:11" x14ac:dyDescent="0.3">
      <c r="A161" t="str">
        <f>'Dane corrupted'!B154</f>
        <v>MNIST-C (Motion Blur)</v>
      </c>
      <c r="B161" t="str">
        <f>'Dane corrupted'!C154</f>
        <v>Support Vector Machine</v>
      </c>
      <c r="C161" t="str">
        <f>'Dane corrupted'!D154</f>
        <v>LDA</v>
      </c>
      <c r="D161">
        <f>'Dane corrupted'!K154</f>
        <v>0.89370000000000005</v>
      </c>
    </row>
    <row r="162" spans="1:11" x14ac:dyDescent="0.3">
      <c r="A162" t="str">
        <f>'Dane corrupted'!B155</f>
        <v>MNIST-C (Motion Blur)</v>
      </c>
      <c r="B162" t="str">
        <f>'Dane corrupted'!C155</f>
        <v>Support Vector Machine</v>
      </c>
      <c r="C162" t="str">
        <f>'Dane corrupted'!D155</f>
        <v>PCA</v>
      </c>
      <c r="D162">
        <f>'Dane corrupted'!K155</f>
        <v>0.97829999999999995</v>
      </c>
    </row>
    <row r="163" spans="1:11" x14ac:dyDescent="0.3">
      <c r="A163" t="str">
        <f>'Dane corrupted'!B156</f>
        <v>MNIST-C (Motion Blur)</v>
      </c>
      <c r="B163" t="str">
        <f>'Dane corrupted'!C156</f>
        <v>Support Vector Machine</v>
      </c>
      <c r="C163" t="str">
        <f>'Dane corrupted'!D156</f>
        <v>UMAP</v>
      </c>
      <c r="D163">
        <f>'Dane corrupted'!K156</f>
        <v>0.94089999999999996</v>
      </c>
    </row>
    <row r="164" spans="1:11" x14ac:dyDescent="0.3">
      <c r="A164" t="str">
        <f>'Dane corrupted'!B157</f>
        <v>MNIST-C (Motion Blur)</v>
      </c>
      <c r="B164" t="str">
        <f>'Dane corrupted'!C157</f>
        <v>XGBoost</v>
      </c>
      <c r="C164" t="str">
        <f>'Dane corrupted'!D157</f>
        <v>Brak redukcji</v>
      </c>
      <c r="D164">
        <f>'Dane corrupted'!K157</f>
        <v>0.90949999999999998</v>
      </c>
    </row>
    <row r="165" spans="1:11" x14ac:dyDescent="0.3">
      <c r="A165" t="str">
        <f>'Dane corrupted'!B158</f>
        <v>MNIST-C (Motion Blur)</v>
      </c>
      <c r="B165" t="str">
        <f>'Dane corrupted'!C158</f>
        <v>XGBoost</v>
      </c>
      <c r="C165" t="str">
        <f>'Dane corrupted'!D158</f>
        <v>Flood Fill</v>
      </c>
      <c r="D165">
        <f>'Dane corrupted'!K158</f>
        <v>0.95350000000000001</v>
      </c>
    </row>
    <row r="166" spans="1:11" x14ac:dyDescent="0.3">
      <c r="A166" t="str">
        <f>'Dane corrupted'!B159</f>
        <v>MNIST-C (Motion Blur)</v>
      </c>
      <c r="B166" t="str">
        <f>'Dane corrupted'!C159</f>
        <v>XGBoost</v>
      </c>
      <c r="C166" t="str">
        <f>'Dane corrupted'!D159</f>
        <v>LDA</v>
      </c>
      <c r="D166">
        <f>'Dane corrupted'!K159</f>
        <v>0.88690000000000002</v>
      </c>
    </row>
    <row r="167" spans="1:11" x14ac:dyDescent="0.3">
      <c r="A167" t="str">
        <f>'Dane corrupted'!B160</f>
        <v>MNIST-C (Motion Blur)</v>
      </c>
      <c r="B167" t="str">
        <f>'Dane corrupted'!C160</f>
        <v>XGBoost</v>
      </c>
      <c r="C167" t="str">
        <f>'Dane corrupted'!D160</f>
        <v>PCA</v>
      </c>
      <c r="D167">
        <f>'Dane corrupted'!K160</f>
        <v>0.94679999999999997</v>
      </c>
    </row>
    <row r="168" spans="1:11" x14ac:dyDescent="0.3">
      <c r="A168" t="str">
        <f>'Dane corrupted'!B161</f>
        <v>MNIST-C (Motion Blur)</v>
      </c>
      <c r="B168" t="str">
        <f>'Dane corrupted'!C161</f>
        <v>XGBoost</v>
      </c>
      <c r="C168" t="str">
        <f>'Dane corrupted'!D161</f>
        <v>UMAP</v>
      </c>
      <c r="D168">
        <f>'Dane corrupted'!K161</f>
        <v>0.94230000000000003</v>
      </c>
    </row>
    <row r="169" spans="1:11" x14ac:dyDescent="0.3">
      <c r="A169" t="s">
        <v>32</v>
      </c>
      <c r="B169" t="s">
        <v>38</v>
      </c>
      <c r="C169" t="s">
        <v>33</v>
      </c>
      <c r="D169" t="s">
        <v>34</v>
      </c>
      <c r="F169" s="1" t="s">
        <v>56</v>
      </c>
      <c r="G169" s="1" t="s">
        <v>35</v>
      </c>
    </row>
    <row r="170" spans="1:11" x14ac:dyDescent="0.3">
      <c r="A170" t="str">
        <f>'Dane corrupted'!B162</f>
        <v>MNIST-C (Rotate)</v>
      </c>
      <c r="B170" t="str">
        <f>'Dane corrupted'!C162</f>
        <v>K-Nearest Neighbors</v>
      </c>
      <c r="C170" t="str">
        <f>'Dane corrupted'!D162</f>
        <v>Brak redukcji</v>
      </c>
      <c r="D170">
        <f>'Dane corrupted'!K162</f>
        <v>0.94530000000000003</v>
      </c>
      <c r="F170" s="1" t="s">
        <v>36</v>
      </c>
      <c r="G170" t="s">
        <v>20</v>
      </c>
      <c r="H170" t="s">
        <v>26</v>
      </c>
      <c r="I170" t="s">
        <v>25</v>
      </c>
      <c r="J170" t="s">
        <v>24</v>
      </c>
      <c r="K170" t="s">
        <v>39</v>
      </c>
    </row>
    <row r="171" spans="1:11" x14ac:dyDescent="0.3">
      <c r="A171" t="str">
        <f>'Dane corrupted'!B163</f>
        <v>MNIST-C (Rotate)</v>
      </c>
      <c r="B171" t="str">
        <f>'Dane corrupted'!C163</f>
        <v>K-Nearest Neighbors</v>
      </c>
      <c r="C171" t="str">
        <f>'Dane corrupted'!D163</f>
        <v>Flood Fill</v>
      </c>
      <c r="D171">
        <f>'Dane corrupted'!K163</f>
        <v>0.93169999999999997</v>
      </c>
      <c r="F171" s="2" t="s">
        <v>19</v>
      </c>
      <c r="G171" s="38">
        <v>0.94530000000000003</v>
      </c>
      <c r="H171" s="38">
        <v>0.93169999999999997</v>
      </c>
      <c r="I171" s="38">
        <v>0.85319999999999996</v>
      </c>
      <c r="J171" s="38">
        <v>0.96709999999999996</v>
      </c>
      <c r="K171" s="38">
        <v>0.94520000000000004</v>
      </c>
    </row>
    <row r="172" spans="1:11" x14ac:dyDescent="0.3">
      <c r="A172" t="str">
        <f>'Dane corrupted'!B164</f>
        <v>MNIST-C (Rotate)</v>
      </c>
      <c r="B172" t="str">
        <f>'Dane corrupted'!C164</f>
        <v>K-Nearest Neighbors</v>
      </c>
      <c r="C172" t="str">
        <f>'Dane corrupted'!D164</f>
        <v>LDA</v>
      </c>
      <c r="D172">
        <f>'Dane corrupted'!K164</f>
        <v>0.85319999999999996</v>
      </c>
      <c r="F172" s="2" t="s">
        <v>22</v>
      </c>
      <c r="G172" s="38">
        <v>0.96499999999999997</v>
      </c>
      <c r="H172" s="38">
        <v>0.96319999999999995</v>
      </c>
      <c r="I172" s="38">
        <v>0.83</v>
      </c>
      <c r="J172" s="38">
        <v>0.97399999999999998</v>
      </c>
      <c r="K172" s="38">
        <v>0.94399999999999995</v>
      </c>
    </row>
    <row r="173" spans="1:11" x14ac:dyDescent="0.3">
      <c r="A173" t="str">
        <f>'Dane corrupted'!B165</f>
        <v>MNIST-C (Rotate)</v>
      </c>
      <c r="B173" t="str">
        <f>'Dane corrupted'!C165</f>
        <v>K-Nearest Neighbors</v>
      </c>
      <c r="C173" t="str">
        <f>'Dane corrupted'!D165</f>
        <v>PCA</v>
      </c>
      <c r="D173">
        <f>'Dane corrupted'!K165</f>
        <v>0.96709999999999996</v>
      </c>
      <c r="F173" s="2" t="s">
        <v>23</v>
      </c>
      <c r="G173" s="38">
        <v>0.96189999999999998</v>
      </c>
      <c r="H173" s="38">
        <v>0.94</v>
      </c>
      <c r="I173" s="38">
        <v>0.86450000000000005</v>
      </c>
      <c r="J173" s="38">
        <v>0.9738</v>
      </c>
      <c r="K173" s="38">
        <v>0.94259999999999999</v>
      </c>
    </row>
    <row r="174" spans="1:11" x14ac:dyDescent="0.3">
      <c r="A174" t="str">
        <f>'Dane corrupted'!B166</f>
        <v>MNIST-C (Rotate)</v>
      </c>
      <c r="B174" t="str">
        <f>'Dane corrupted'!C166</f>
        <v>K-Nearest Neighbors</v>
      </c>
      <c r="C174" t="str">
        <f>'Dane corrupted'!D166</f>
        <v>UMAP</v>
      </c>
      <c r="D174">
        <f>'Dane corrupted'!K166</f>
        <v>0.94520000000000004</v>
      </c>
      <c r="F174" s="2" t="s">
        <v>21</v>
      </c>
      <c r="G174" s="38">
        <v>0.94040000000000001</v>
      </c>
      <c r="H174" s="38">
        <v>0.9526</v>
      </c>
      <c r="I174" s="38">
        <v>0.85629999999999995</v>
      </c>
      <c r="J174" s="38">
        <v>0.93130000000000002</v>
      </c>
      <c r="K174" s="38">
        <v>0.94610000000000005</v>
      </c>
    </row>
    <row r="175" spans="1:11" x14ac:dyDescent="0.3">
      <c r="A175" t="str">
        <f>'Dane corrupted'!B167</f>
        <v>MNIST-C (Rotate)</v>
      </c>
      <c r="B175" t="str">
        <f>'Dane corrupted'!C167</f>
        <v>Multi-Layer Perceptron</v>
      </c>
      <c r="C175" t="str">
        <f>'Dane corrupted'!D167</f>
        <v>Brak redukcji</v>
      </c>
      <c r="D175">
        <f>'Dane corrupted'!K167</f>
        <v>0.96499999999999997</v>
      </c>
    </row>
    <row r="176" spans="1:11" x14ac:dyDescent="0.3">
      <c r="A176" t="str">
        <f>'Dane corrupted'!B168</f>
        <v>MNIST-C (Rotate)</v>
      </c>
      <c r="B176" t="str">
        <f>'Dane corrupted'!C168</f>
        <v>Multi-Layer Perceptron</v>
      </c>
      <c r="C176" t="str">
        <f>'Dane corrupted'!D168</f>
        <v>Flood Fill</v>
      </c>
      <c r="D176">
        <f>'Dane corrupted'!K168</f>
        <v>0.96319999999999995</v>
      </c>
    </row>
    <row r="177" spans="1:11" x14ac:dyDescent="0.3">
      <c r="A177" t="str">
        <f>'Dane corrupted'!B169</f>
        <v>MNIST-C (Rotate)</v>
      </c>
      <c r="B177" t="str">
        <f>'Dane corrupted'!C169</f>
        <v>Multi-Layer Perceptron</v>
      </c>
      <c r="C177" t="str">
        <f>'Dane corrupted'!D169</f>
        <v>LDA</v>
      </c>
      <c r="D177">
        <f>'Dane corrupted'!K169</f>
        <v>0.83</v>
      </c>
    </row>
    <row r="178" spans="1:11" x14ac:dyDescent="0.3">
      <c r="A178" t="str">
        <f>'Dane corrupted'!B170</f>
        <v>MNIST-C (Rotate)</v>
      </c>
      <c r="B178" t="str">
        <f>'Dane corrupted'!C170</f>
        <v>Multi-Layer Perceptron</v>
      </c>
      <c r="C178" t="str">
        <f>'Dane corrupted'!D170</f>
        <v>PCA</v>
      </c>
      <c r="D178">
        <f>'Dane corrupted'!K170</f>
        <v>0.97399999999999998</v>
      </c>
    </row>
    <row r="179" spans="1:11" x14ac:dyDescent="0.3">
      <c r="A179" t="str">
        <f>'Dane corrupted'!B171</f>
        <v>MNIST-C (Rotate)</v>
      </c>
      <c r="B179" t="str">
        <f>'Dane corrupted'!C171</f>
        <v>Multi-Layer Perceptron</v>
      </c>
      <c r="C179" t="str">
        <f>'Dane corrupted'!D171</f>
        <v>UMAP</v>
      </c>
      <c r="D179">
        <f>'Dane corrupted'!K171</f>
        <v>0.94399999999999995</v>
      </c>
    </row>
    <row r="180" spans="1:11" x14ac:dyDescent="0.3">
      <c r="A180" t="str">
        <f>'Dane corrupted'!B172</f>
        <v>MNIST-C (Rotate)</v>
      </c>
      <c r="B180" t="str">
        <f>'Dane corrupted'!C172</f>
        <v>Support Vector Machine</v>
      </c>
      <c r="C180" t="str">
        <f>'Dane corrupted'!D172</f>
        <v>Brak redukcji</v>
      </c>
      <c r="D180">
        <f>'Dane corrupted'!K172</f>
        <v>0.96189999999999998</v>
      </c>
    </row>
    <row r="181" spans="1:11" x14ac:dyDescent="0.3">
      <c r="A181" t="str">
        <f>'Dane corrupted'!B173</f>
        <v>MNIST-C (Rotate)</v>
      </c>
      <c r="B181" t="str">
        <f>'Dane corrupted'!C173</f>
        <v>Support Vector Machine</v>
      </c>
      <c r="C181" t="str">
        <f>'Dane corrupted'!D173</f>
        <v>Flood Fill</v>
      </c>
      <c r="D181">
        <f>'Dane corrupted'!K173</f>
        <v>0.94</v>
      </c>
    </row>
    <row r="182" spans="1:11" x14ac:dyDescent="0.3">
      <c r="A182" t="str">
        <f>'Dane corrupted'!B174</f>
        <v>MNIST-C (Rotate)</v>
      </c>
      <c r="B182" t="str">
        <f>'Dane corrupted'!C174</f>
        <v>Support Vector Machine</v>
      </c>
      <c r="C182" t="str">
        <f>'Dane corrupted'!D174</f>
        <v>LDA</v>
      </c>
      <c r="D182">
        <f>'Dane corrupted'!K174</f>
        <v>0.86450000000000005</v>
      </c>
    </row>
    <row r="183" spans="1:11" x14ac:dyDescent="0.3">
      <c r="A183" t="str">
        <f>'Dane corrupted'!B175</f>
        <v>MNIST-C (Rotate)</v>
      </c>
      <c r="B183" t="str">
        <f>'Dane corrupted'!C175</f>
        <v>Support Vector Machine</v>
      </c>
      <c r="C183" t="str">
        <f>'Dane corrupted'!D175</f>
        <v>PCA</v>
      </c>
      <c r="D183">
        <f>'Dane corrupted'!K175</f>
        <v>0.9738</v>
      </c>
    </row>
    <row r="184" spans="1:11" x14ac:dyDescent="0.3">
      <c r="A184" t="str">
        <f>'Dane corrupted'!B176</f>
        <v>MNIST-C (Rotate)</v>
      </c>
      <c r="B184" t="str">
        <f>'Dane corrupted'!C176</f>
        <v>Support Vector Machine</v>
      </c>
      <c r="C184" t="str">
        <f>'Dane corrupted'!D176</f>
        <v>UMAP</v>
      </c>
      <c r="D184">
        <f>'Dane corrupted'!K176</f>
        <v>0.94259999999999999</v>
      </c>
    </row>
    <row r="185" spans="1:11" x14ac:dyDescent="0.3">
      <c r="A185" t="str">
        <f>'Dane corrupted'!B177</f>
        <v>MNIST-C (Rotate)</v>
      </c>
      <c r="B185" t="str">
        <f>'Dane corrupted'!C177</f>
        <v>XGBoost</v>
      </c>
      <c r="C185" t="str">
        <f>'Dane corrupted'!D177</f>
        <v>Brak redukcji</v>
      </c>
      <c r="D185">
        <f>'Dane corrupted'!K177</f>
        <v>0.94040000000000001</v>
      </c>
    </row>
    <row r="186" spans="1:11" x14ac:dyDescent="0.3">
      <c r="A186" t="str">
        <f>'Dane corrupted'!B178</f>
        <v>MNIST-C (Rotate)</v>
      </c>
      <c r="B186" t="str">
        <f>'Dane corrupted'!C178</f>
        <v>XGBoost</v>
      </c>
      <c r="C186" t="str">
        <f>'Dane corrupted'!D178</f>
        <v>Flood Fill</v>
      </c>
      <c r="D186">
        <f>'Dane corrupted'!K178</f>
        <v>0.9526</v>
      </c>
    </row>
    <row r="187" spans="1:11" x14ac:dyDescent="0.3">
      <c r="A187" t="str">
        <f>'Dane corrupted'!B179</f>
        <v>MNIST-C (Rotate)</v>
      </c>
      <c r="B187" t="str">
        <f>'Dane corrupted'!C179</f>
        <v>XGBoost</v>
      </c>
      <c r="C187" t="str">
        <f>'Dane corrupted'!D179</f>
        <v>LDA</v>
      </c>
      <c r="D187">
        <f>'Dane corrupted'!K179</f>
        <v>0.85629999999999995</v>
      </c>
    </row>
    <row r="188" spans="1:11" x14ac:dyDescent="0.3">
      <c r="A188" t="str">
        <f>'Dane corrupted'!B180</f>
        <v>MNIST-C (Rotate)</v>
      </c>
      <c r="B188" t="str">
        <f>'Dane corrupted'!C180</f>
        <v>XGBoost</v>
      </c>
      <c r="C188" t="str">
        <f>'Dane corrupted'!D180</f>
        <v>PCA</v>
      </c>
      <c r="D188">
        <f>'Dane corrupted'!K180</f>
        <v>0.93130000000000002</v>
      </c>
    </row>
    <row r="189" spans="1:11" x14ac:dyDescent="0.3">
      <c r="A189" t="str">
        <f>'Dane corrupted'!B181</f>
        <v>MNIST-C (Rotate)</v>
      </c>
      <c r="B189" t="str">
        <f>'Dane corrupted'!C181</f>
        <v>XGBoost</v>
      </c>
      <c r="C189" t="str">
        <f>'Dane corrupted'!D181</f>
        <v>UMAP</v>
      </c>
      <c r="D189">
        <f>'Dane corrupted'!K181</f>
        <v>0.94610000000000005</v>
      </c>
    </row>
    <row r="190" spans="1:11" x14ac:dyDescent="0.3">
      <c r="A190" t="s">
        <v>32</v>
      </c>
      <c r="B190" t="s">
        <v>38</v>
      </c>
      <c r="C190" t="s">
        <v>33</v>
      </c>
      <c r="D190" t="s">
        <v>34</v>
      </c>
      <c r="F190" s="1" t="s">
        <v>56</v>
      </c>
      <c r="G190" s="1" t="s">
        <v>35</v>
      </c>
    </row>
    <row r="191" spans="1:11" x14ac:dyDescent="0.3">
      <c r="A191" t="str">
        <f>'Dane corrupted'!B182</f>
        <v>MNIST-C (Scale)</v>
      </c>
      <c r="B191" t="str">
        <f>'Dane corrupted'!C182</f>
        <v>K-Nearest Neighbors</v>
      </c>
      <c r="C191" t="str">
        <f>'Dane corrupted'!D182</f>
        <v>Brak redukcji</v>
      </c>
      <c r="D191">
        <f>'Dane corrupted'!K182</f>
        <v>0.95240000000000002</v>
      </c>
      <c r="F191" s="1" t="s">
        <v>36</v>
      </c>
      <c r="G191" t="s">
        <v>20</v>
      </c>
      <c r="H191" t="s">
        <v>26</v>
      </c>
      <c r="I191" t="s">
        <v>25</v>
      </c>
      <c r="J191" t="s">
        <v>24</v>
      </c>
      <c r="K191" t="s">
        <v>39</v>
      </c>
    </row>
    <row r="192" spans="1:11" x14ac:dyDescent="0.3">
      <c r="A192" t="str">
        <f>'Dane corrupted'!B183</f>
        <v>MNIST-C (Scale)</v>
      </c>
      <c r="B192" t="str">
        <f>'Dane corrupted'!C183</f>
        <v>K-Nearest Neighbors</v>
      </c>
      <c r="C192" t="str">
        <f>'Dane corrupted'!D183</f>
        <v>Flood Fill</v>
      </c>
      <c r="D192">
        <f>'Dane corrupted'!K183</f>
        <v>0.94079999999999997</v>
      </c>
      <c r="F192" s="2" t="s">
        <v>19</v>
      </c>
      <c r="G192" s="38">
        <v>0.95240000000000002</v>
      </c>
      <c r="H192" s="38">
        <v>0.94079999999999997</v>
      </c>
      <c r="I192" s="38">
        <v>0.91790000000000005</v>
      </c>
      <c r="J192" s="38">
        <v>0.97440000000000004</v>
      </c>
      <c r="K192" s="38">
        <v>0.95669999999999999</v>
      </c>
    </row>
    <row r="193" spans="1:11" x14ac:dyDescent="0.3">
      <c r="A193" t="str">
        <f>'Dane corrupted'!B184</f>
        <v>MNIST-C (Scale)</v>
      </c>
      <c r="B193" t="str">
        <f>'Dane corrupted'!C184</f>
        <v>K-Nearest Neighbors</v>
      </c>
      <c r="C193" t="str">
        <f>'Dane corrupted'!D184</f>
        <v>LDA</v>
      </c>
      <c r="D193">
        <f>'Dane corrupted'!K184</f>
        <v>0.91790000000000005</v>
      </c>
      <c r="F193" s="2" t="s">
        <v>22</v>
      </c>
      <c r="G193" s="38">
        <v>0.97529999999999994</v>
      </c>
      <c r="H193" s="38">
        <v>0.96419999999999995</v>
      </c>
      <c r="I193" s="38">
        <v>0.91020000000000001</v>
      </c>
      <c r="J193" s="38">
        <v>0.9839</v>
      </c>
      <c r="K193" s="38">
        <v>0.95579999999999998</v>
      </c>
    </row>
    <row r="194" spans="1:11" x14ac:dyDescent="0.3">
      <c r="A194" t="str">
        <f>'Dane corrupted'!B185</f>
        <v>MNIST-C (Scale)</v>
      </c>
      <c r="B194" t="str">
        <f>'Dane corrupted'!C185</f>
        <v>K-Nearest Neighbors</v>
      </c>
      <c r="C194" t="str">
        <f>'Dane corrupted'!D185</f>
        <v>PCA</v>
      </c>
      <c r="D194">
        <f>'Dane corrupted'!K185</f>
        <v>0.97440000000000004</v>
      </c>
      <c r="F194" s="2" t="s">
        <v>23</v>
      </c>
      <c r="G194" s="38">
        <v>0.96879999999999999</v>
      </c>
      <c r="H194" s="38">
        <v>0.95399999999999996</v>
      </c>
      <c r="I194" s="38">
        <v>0.92120000000000002</v>
      </c>
      <c r="J194" s="38">
        <v>0.98240000000000005</v>
      </c>
      <c r="K194" s="38">
        <v>0.95579999999999998</v>
      </c>
    </row>
    <row r="195" spans="1:11" x14ac:dyDescent="0.3">
      <c r="A195" t="str">
        <f>'Dane corrupted'!B186</f>
        <v>MNIST-C (Scale)</v>
      </c>
      <c r="B195" t="str">
        <f>'Dane corrupted'!C186</f>
        <v>K-Nearest Neighbors</v>
      </c>
      <c r="C195" t="str">
        <f>'Dane corrupted'!D186</f>
        <v>UMAP</v>
      </c>
      <c r="D195">
        <f>'Dane corrupted'!K186</f>
        <v>0.95669999999999999</v>
      </c>
      <c r="F195" s="2" t="s">
        <v>21</v>
      </c>
      <c r="G195" s="38">
        <v>0.9607</v>
      </c>
      <c r="H195" s="38">
        <v>0.96109999999999995</v>
      </c>
      <c r="I195" s="38">
        <v>0.91459999999999997</v>
      </c>
      <c r="J195" s="38">
        <v>0.95620000000000005</v>
      </c>
      <c r="K195" s="38">
        <v>0.95760000000000001</v>
      </c>
    </row>
    <row r="196" spans="1:11" x14ac:dyDescent="0.3">
      <c r="A196" t="str">
        <f>'Dane corrupted'!B187</f>
        <v>MNIST-C (Scale)</v>
      </c>
      <c r="B196" t="str">
        <f>'Dane corrupted'!C187</f>
        <v>Multi-Layer Perceptron</v>
      </c>
      <c r="C196" t="str">
        <f>'Dane corrupted'!D187</f>
        <v>Brak redukcji</v>
      </c>
      <c r="D196">
        <f>'Dane corrupted'!K187</f>
        <v>0.97529999999999994</v>
      </c>
    </row>
    <row r="197" spans="1:11" x14ac:dyDescent="0.3">
      <c r="A197" t="str">
        <f>'Dane corrupted'!B188</f>
        <v>MNIST-C (Scale)</v>
      </c>
      <c r="B197" t="str">
        <f>'Dane corrupted'!C188</f>
        <v>Multi-Layer Perceptron</v>
      </c>
      <c r="C197" t="str">
        <f>'Dane corrupted'!D188</f>
        <v>Flood Fill</v>
      </c>
      <c r="D197">
        <f>'Dane corrupted'!K188</f>
        <v>0.96419999999999995</v>
      </c>
    </row>
    <row r="198" spans="1:11" x14ac:dyDescent="0.3">
      <c r="A198" t="str">
        <f>'Dane corrupted'!B189</f>
        <v>MNIST-C (Scale)</v>
      </c>
      <c r="B198" t="str">
        <f>'Dane corrupted'!C189</f>
        <v>Multi-Layer Perceptron</v>
      </c>
      <c r="C198" t="str">
        <f>'Dane corrupted'!D189</f>
        <v>LDA</v>
      </c>
      <c r="D198">
        <f>'Dane corrupted'!K189</f>
        <v>0.91020000000000001</v>
      </c>
    </row>
    <row r="199" spans="1:11" x14ac:dyDescent="0.3">
      <c r="A199" t="str">
        <f>'Dane corrupted'!B190</f>
        <v>MNIST-C (Scale)</v>
      </c>
      <c r="B199" t="str">
        <f>'Dane corrupted'!C190</f>
        <v>Multi-Layer Perceptron</v>
      </c>
      <c r="C199" t="str">
        <f>'Dane corrupted'!D190</f>
        <v>PCA</v>
      </c>
      <c r="D199">
        <f>'Dane corrupted'!K190</f>
        <v>0.9839</v>
      </c>
    </row>
    <row r="200" spans="1:11" x14ac:dyDescent="0.3">
      <c r="A200" t="str">
        <f>'Dane corrupted'!B191</f>
        <v>MNIST-C (Scale)</v>
      </c>
      <c r="B200" t="str">
        <f>'Dane corrupted'!C191</f>
        <v>Multi-Layer Perceptron</v>
      </c>
      <c r="C200" t="str">
        <f>'Dane corrupted'!D191</f>
        <v>UMAP</v>
      </c>
      <c r="D200">
        <f>'Dane corrupted'!K191</f>
        <v>0.95579999999999998</v>
      </c>
    </row>
    <row r="201" spans="1:11" x14ac:dyDescent="0.3">
      <c r="A201" t="str">
        <f>'Dane corrupted'!B192</f>
        <v>MNIST-C (Scale)</v>
      </c>
      <c r="B201" t="str">
        <f>'Dane corrupted'!C192</f>
        <v>Support Vector Machine</v>
      </c>
      <c r="C201" t="str">
        <f>'Dane corrupted'!D192</f>
        <v>Brak redukcji</v>
      </c>
      <c r="D201">
        <f>'Dane corrupted'!K192</f>
        <v>0.96879999999999999</v>
      </c>
    </row>
    <row r="202" spans="1:11" x14ac:dyDescent="0.3">
      <c r="A202" t="str">
        <f>'Dane corrupted'!B193</f>
        <v>MNIST-C (Scale)</v>
      </c>
      <c r="B202" t="str">
        <f>'Dane corrupted'!C193</f>
        <v>Support Vector Machine</v>
      </c>
      <c r="C202" t="str">
        <f>'Dane corrupted'!D193</f>
        <v>Flood Fill</v>
      </c>
      <c r="D202">
        <f>'Dane corrupted'!K193</f>
        <v>0.95399999999999996</v>
      </c>
    </row>
    <row r="203" spans="1:11" x14ac:dyDescent="0.3">
      <c r="A203" t="str">
        <f>'Dane corrupted'!B194</f>
        <v>MNIST-C (Scale)</v>
      </c>
      <c r="B203" t="str">
        <f>'Dane corrupted'!C194</f>
        <v>Support Vector Machine</v>
      </c>
      <c r="C203" t="str">
        <f>'Dane corrupted'!D194</f>
        <v>LDA</v>
      </c>
      <c r="D203">
        <f>'Dane corrupted'!K194</f>
        <v>0.92120000000000002</v>
      </c>
    </row>
    <row r="204" spans="1:11" x14ac:dyDescent="0.3">
      <c r="A204" t="str">
        <f>'Dane corrupted'!B195</f>
        <v>MNIST-C (Scale)</v>
      </c>
      <c r="B204" t="str">
        <f>'Dane corrupted'!C195</f>
        <v>Support Vector Machine</v>
      </c>
      <c r="C204" t="str">
        <f>'Dane corrupted'!D195</f>
        <v>PCA</v>
      </c>
      <c r="D204">
        <f>'Dane corrupted'!K195</f>
        <v>0.98240000000000005</v>
      </c>
    </row>
    <row r="205" spans="1:11" x14ac:dyDescent="0.3">
      <c r="A205" t="str">
        <f>'Dane corrupted'!B196</f>
        <v>MNIST-C (Scale)</v>
      </c>
      <c r="B205" t="str">
        <f>'Dane corrupted'!C196</f>
        <v>Support Vector Machine</v>
      </c>
      <c r="C205" t="str">
        <f>'Dane corrupted'!D196</f>
        <v>UMAP</v>
      </c>
      <c r="D205">
        <f>'Dane corrupted'!K196</f>
        <v>0.95579999999999998</v>
      </c>
    </row>
    <row r="206" spans="1:11" x14ac:dyDescent="0.3">
      <c r="A206" t="str">
        <f>'Dane corrupted'!B197</f>
        <v>MNIST-C (Scale)</v>
      </c>
      <c r="B206" t="str">
        <f>'Dane corrupted'!C197</f>
        <v>XGBoost</v>
      </c>
      <c r="C206" t="str">
        <f>'Dane corrupted'!D197</f>
        <v>Brak redukcji</v>
      </c>
      <c r="D206">
        <f>'Dane corrupted'!K197</f>
        <v>0.9607</v>
      </c>
    </row>
    <row r="207" spans="1:11" x14ac:dyDescent="0.3">
      <c r="A207" t="str">
        <f>'Dane corrupted'!B198</f>
        <v>MNIST-C (Scale)</v>
      </c>
      <c r="B207" t="str">
        <f>'Dane corrupted'!C198</f>
        <v>XGBoost</v>
      </c>
      <c r="C207" t="str">
        <f>'Dane corrupted'!D198</f>
        <v>Flood Fill</v>
      </c>
      <c r="D207">
        <f>'Dane corrupted'!K198</f>
        <v>0.96109999999999995</v>
      </c>
    </row>
    <row r="208" spans="1:11" x14ac:dyDescent="0.3">
      <c r="A208" t="str">
        <f>'Dane corrupted'!B199</f>
        <v>MNIST-C (Scale)</v>
      </c>
      <c r="B208" t="str">
        <f>'Dane corrupted'!C199</f>
        <v>XGBoost</v>
      </c>
      <c r="C208" t="str">
        <f>'Dane corrupted'!D199</f>
        <v>LDA</v>
      </c>
      <c r="D208">
        <f>'Dane corrupted'!K199</f>
        <v>0.91459999999999997</v>
      </c>
      <c r="E208" t="s">
        <v>32</v>
      </c>
    </row>
    <row r="209" spans="1:11" x14ac:dyDescent="0.3">
      <c r="A209" t="str">
        <f>'Dane corrupted'!B200</f>
        <v>MNIST-C (Scale)</v>
      </c>
      <c r="B209" t="str">
        <f>'Dane corrupted'!C200</f>
        <v>XGBoost</v>
      </c>
      <c r="C209" t="str">
        <f>'Dane corrupted'!D200</f>
        <v>PCA</v>
      </c>
      <c r="D209">
        <f>'Dane corrupted'!K200</f>
        <v>0.95620000000000005</v>
      </c>
    </row>
    <row r="210" spans="1:11" x14ac:dyDescent="0.3">
      <c r="A210" t="str">
        <f>'Dane corrupted'!B201</f>
        <v>MNIST-C (Scale)</v>
      </c>
      <c r="B210" t="str">
        <f>'Dane corrupted'!C201</f>
        <v>XGBoost</v>
      </c>
      <c r="C210" t="str">
        <f>'Dane corrupted'!D201</f>
        <v>UMAP</v>
      </c>
      <c r="D210">
        <f>'Dane corrupted'!K201</f>
        <v>0.95760000000000001</v>
      </c>
    </row>
    <row r="211" spans="1:11" x14ac:dyDescent="0.3">
      <c r="A211" t="s">
        <v>32</v>
      </c>
      <c r="B211" t="s">
        <v>38</v>
      </c>
      <c r="C211" t="s">
        <v>33</v>
      </c>
      <c r="D211" t="s">
        <v>34</v>
      </c>
      <c r="F211" s="1" t="s">
        <v>56</v>
      </c>
      <c r="G211" s="1" t="s">
        <v>35</v>
      </c>
    </row>
    <row r="212" spans="1:11" x14ac:dyDescent="0.3">
      <c r="A212" t="str">
        <f>'Dane corrupted'!B202</f>
        <v>MNIST-C (Shear)</v>
      </c>
      <c r="B212" t="str">
        <f>'Dane corrupted'!C202</f>
        <v>K-Nearest Neighbors</v>
      </c>
      <c r="C212" t="str">
        <f>'Dane corrupted'!D202</f>
        <v>Brak redukcji</v>
      </c>
      <c r="D212">
        <f>'Dane corrupted'!K202</f>
        <v>0.94969999999999999</v>
      </c>
      <c r="F212" s="1" t="s">
        <v>36</v>
      </c>
      <c r="G212" t="s">
        <v>20</v>
      </c>
      <c r="H212" t="s">
        <v>26</v>
      </c>
      <c r="I212" t="s">
        <v>25</v>
      </c>
      <c r="J212" t="s">
        <v>24</v>
      </c>
      <c r="K212" t="s">
        <v>39</v>
      </c>
    </row>
    <row r="213" spans="1:11" x14ac:dyDescent="0.3">
      <c r="A213" t="str">
        <f>'Dane corrupted'!B203</f>
        <v>MNIST-C (Shear)</v>
      </c>
      <c r="B213" t="str">
        <f>'Dane corrupted'!C203</f>
        <v>K-Nearest Neighbors</v>
      </c>
      <c r="C213" t="str">
        <f>'Dane corrupted'!D203</f>
        <v>Flood Fill</v>
      </c>
      <c r="D213">
        <f>'Dane corrupted'!K203</f>
        <v>0.94889999999999997</v>
      </c>
      <c r="F213" s="2" t="s">
        <v>19</v>
      </c>
      <c r="G213" s="38">
        <v>0.94969999999999999</v>
      </c>
      <c r="H213" s="38">
        <v>0.94889999999999997</v>
      </c>
      <c r="I213" s="38">
        <v>0.89480000000000004</v>
      </c>
      <c r="J213" s="38">
        <v>0.9718</v>
      </c>
      <c r="K213" s="38">
        <v>0.9536</v>
      </c>
    </row>
    <row r="214" spans="1:11" x14ac:dyDescent="0.3">
      <c r="A214" t="str">
        <f>'Dane corrupted'!B204</f>
        <v>MNIST-C (Shear)</v>
      </c>
      <c r="B214" t="str">
        <f>'Dane corrupted'!C204</f>
        <v>K-Nearest Neighbors</v>
      </c>
      <c r="C214" t="str">
        <f>'Dane corrupted'!D204</f>
        <v>LDA</v>
      </c>
      <c r="D214">
        <f>'Dane corrupted'!K204</f>
        <v>0.89480000000000004</v>
      </c>
      <c r="F214" s="2" t="s">
        <v>22</v>
      </c>
      <c r="G214" s="38">
        <v>0.97450000000000003</v>
      </c>
      <c r="H214" s="38">
        <v>0.97030000000000005</v>
      </c>
      <c r="I214" s="38">
        <v>0.88629999999999998</v>
      </c>
      <c r="J214" s="38">
        <v>0.97719999999999996</v>
      </c>
      <c r="K214" s="38">
        <v>0.9516</v>
      </c>
    </row>
    <row r="215" spans="1:11" x14ac:dyDescent="0.3">
      <c r="A215" t="str">
        <f>'Dane corrupted'!B205</f>
        <v>MNIST-C (Shear)</v>
      </c>
      <c r="B215" t="str">
        <f>'Dane corrupted'!C205</f>
        <v>K-Nearest Neighbors</v>
      </c>
      <c r="C215" t="str">
        <f>'Dane corrupted'!D205</f>
        <v>PCA</v>
      </c>
      <c r="D215">
        <f>'Dane corrupted'!K205</f>
        <v>0.9718</v>
      </c>
      <c r="F215" s="2" t="s">
        <v>23</v>
      </c>
      <c r="G215" s="38">
        <v>0.97070000000000001</v>
      </c>
      <c r="H215" s="38">
        <v>0.95750000000000002</v>
      </c>
      <c r="I215" s="38">
        <v>0.90100000000000002</v>
      </c>
      <c r="J215" s="38">
        <v>0.9778</v>
      </c>
      <c r="K215" s="38">
        <v>0.95169999999999999</v>
      </c>
    </row>
    <row r="216" spans="1:11" x14ac:dyDescent="0.3">
      <c r="A216" t="str">
        <f>'Dane corrupted'!B206</f>
        <v>MNIST-C (Shear)</v>
      </c>
      <c r="B216" t="str">
        <f>'Dane corrupted'!C206</f>
        <v>K-Nearest Neighbors</v>
      </c>
      <c r="C216" t="str">
        <f>'Dane corrupted'!D206</f>
        <v>UMAP</v>
      </c>
      <c r="D216">
        <f>'Dane corrupted'!K206</f>
        <v>0.9536</v>
      </c>
      <c r="F216" s="2" t="s">
        <v>21</v>
      </c>
      <c r="G216" s="38">
        <v>0.95409999999999995</v>
      </c>
      <c r="H216" s="38">
        <v>0.96530000000000005</v>
      </c>
      <c r="I216" s="38">
        <v>0.8931</v>
      </c>
      <c r="J216" s="38">
        <v>0.94310000000000005</v>
      </c>
      <c r="K216" s="38">
        <v>0.95469999999999999</v>
      </c>
    </row>
    <row r="217" spans="1:11" x14ac:dyDescent="0.3">
      <c r="A217" t="str">
        <f>'Dane corrupted'!B207</f>
        <v>MNIST-C (Shear)</v>
      </c>
      <c r="B217" t="str">
        <f>'Dane corrupted'!C207</f>
        <v>Multi-Layer Perceptron</v>
      </c>
      <c r="C217" t="str">
        <f>'Dane corrupted'!D207</f>
        <v>Brak redukcji</v>
      </c>
      <c r="D217">
        <f>'Dane corrupted'!K207</f>
        <v>0.97450000000000003</v>
      </c>
    </row>
    <row r="218" spans="1:11" x14ac:dyDescent="0.3">
      <c r="A218" t="str">
        <f>'Dane corrupted'!B208</f>
        <v>MNIST-C (Shear)</v>
      </c>
      <c r="B218" t="str">
        <f>'Dane corrupted'!C208</f>
        <v>Multi-Layer Perceptron</v>
      </c>
      <c r="C218" t="str">
        <f>'Dane corrupted'!D208</f>
        <v>Flood Fill</v>
      </c>
      <c r="D218">
        <f>'Dane corrupted'!K208</f>
        <v>0.97030000000000005</v>
      </c>
    </row>
    <row r="219" spans="1:11" x14ac:dyDescent="0.3">
      <c r="A219" t="str">
        <f>'Dane corrupted'!B209</f>
        <v>MNIST-C (Shear)</v>
      </c>
      <c r="B219" t="str">
        <f>'Dane corrupted'!C209</f>
        <v>Multi-Layer Perceptron</v>
      </c>
      <c r="C219" t="str">
        <f>'Dane corrupted'!D209</f>
        <v>LDA</v>
      </c>
      <c r="D219">
        <f>'Dane corrupted'!K209</f>
        <v>0.88629999999999998</v>
      </c>
    </row>
    <row r="220" spans="1:11" x14ac:dyDescent="0.3">
      <c r="A220" t="str">
        <f>'Dane corrupted'!B210</f>
        <v>MNIST-C (Shear)</v>
      </c>
      <c r="B220" t="str">
        <f>'Dane corrupted'!C210</f>
        <v>Multi-Layer Perceptron</v>
      </c>
      <c r="C220" t="str">
        <f>'Dane corrupted'!D210</f>
        <v>PCA</v>
      </c>
      <c r="D220">
        <f>'Dane corrupted'!K210</f>
        <v>0.97719999999999996</v>
      </c>
    </row>
    <row r="221" spans="1:11" x14ac:dyDescent="0.3">
      <c r="A221" t="str">
        <f>'Dane corrupted'!B211</f>
        <v>MNIST-C (Shear)</v>
      </c>
      <c r="B221" t="str">
        <f>'Dane corrupted'!C211</f>
        <v>Multi-Layer Perceptron</v>
      </c>
      <c r="C221" t="str">
        <f>'Dane corrupted'!D211</f>
        <v>UMAP</v>
      </c>
      <c r="D221">
        <f>'Dane corrupted'!K211</f>
        <v>0.9516</v>
      </c>
    </row>
    <row r="222" spans="1:11" x14ac:dyDescent="0.3">
      <c r="A222" t="str">
        <f>'Dane corrupted'!B212</f>
        <v>MNIST-C (Shear)</v>
      </c>
      <c r="B222" t="str">
        <f>'Dane corrupted'!C212</f>
        <v>Support Vector Machine</v>
      </c>
      <c r="C222" t="str">
        <f>'Dane corrupted'!D212</f>
        <v>Brak redukcji</v>
      </c>
      <c r="D222">
        <f>'Dane corrupted'!K212</f>
        <v>0.97070000000000001</v>
      </c>
    </row>
    <row r="223" spans="1:11" x14ac:dyDescent="0.3">
      <c r="A223" t="str">
        <f>'Dane corrupted'!B213</f>
        <v>MNIST-C (Shear)</v>
      </c>
      <c r="B223" t="str">
        <f>'Dane corrupted'!C213</f>
        <v>Support Vector Machine</v>
      </c>
      <c r="C223" t="str">
        <f>'Dane corrupted'!D213</f>
        <v>Flood Fill</v>
      </c>
      <c r="D223">
        <f>'Dane corrupted'!K213</f>
        <v>0.95750000000000002</v>
      </c>
    </row>
    <row r="224" spans="1:11" x14ac:dyDescent="0.3">
      <c r="A224" t="str">
        <f>'Dane corrupted'!B214</f>
        <v>MNIST-C (Shear)</v>
      </c>
      <c r="B224" t="str">
        <f>'Dane corrupted'!C214</f>
        <v>Support Vector Machine</v>
      </c>
      <c r="C224" t="str">
        <f>'Dane corrupted'!D214</f>
        <v>LDA</v>
      </c>
      <c r="D224">
        <f>'Dane corrupted'!K214</f>
        <v>0.90100000000000002</v>
      </c>
    </row>
    <row r="225" spans="1:11" x14ac:dyDescent="0.3">
      <c r="A225" t="str">
        <f>'Dane corrupted'!B215</f>
        <v>MNIST-C (Shear)</v>
      </c>
      <c r="B225" t="str">
        <f>'Dane corrupted'!C215</f>
        <v>Support Vector Machine</v>
      </c>
      <c r="C225" t="str">
        <f>'Dane corrupted'!D215</f>
        <v>PCA</v>
      </c>
      <c r="D225">
        <f>'Dane corrupted'!K215</f>
        <v>0.9778</v>
      </c>
    </row>
    <row r="226" spans="1:11" x14ac:dyDescent="0.3">
      <c r="A226" t="str">
        <f>'Dane corrupted'!B216</f>
        <v>MNIST-C (Shear)</v>
      </c>
      <c r="B226" t="str">
        <f>'Dane corrupted'!C216</f>
        <v>Support Vector Machine</v>
      </c>
      <c r="C226" t="str">
        <f>'Dane corrupted'!D216</f>
        <v>UMAP</v>
      </c>
      <c r="D226">
        <f>'Dane corrupted'!K216</f>
        <v>0.95169999999999999</v>
      </c>
    </row>
    <row r="227" spans="1:11" x14ac:dyDescent="0.3">
      <c r="A227" t="str">
        <f>'Dane corrupted'!B217</f>
        <v>MNIST-C (Shear)</v>
      </c>
      <c r="B227" t="str">
        <f>'Dane corrupted'!C217</f>
        <v>XGBoost</v>
      </c>
      <c r="C227" t="str">
        <f>'Dane corrupted'!D217</f>
        <v>Brak redukcji</v>
      </c>
      <c r="D227">
        <f>'Dane corrupted'!K217</f>
        <v>0.95409999999999995</v>
      </c>
    </row>
    <row r="228" spans="1:11" x14ac:dyDescent="0.3">
      <c r="A228" t="str">
        <f>'Dane corrupted'!B218</f>
        <v>MNIST-C (Shear)</v>
      </c>
      <c r="B228" t="str">
        <f>'Dane corrupted'!C218</f>
        <v>XGBoost</v>
      </c>
      <c r="C228" t="str">
        <f>'Dane corrupted'!D218</f>
        <v>Flood Fill</v>
      </c>
      <c r="D228">
        <f>'Dane corrupted'!K218</f>
        <v>0.96530000000000005</v>
      </c>
    </row>
    <row r="229" spans="1:11" x14ac:dyDescent="0.3">
      <c r="A229" t="str">
        <f>'Dane corrupted'!B219</f>
        <v>MNIST-C (Shear)</v>
      </c>
      <c r="B229" t="str">
        <f>'Dane corrupted'!C219</f>
        <v>XGBoost</v>
      </c>
      <c r="C229" t="str">
        <f>'Dane corrupted'!D219</f>
        <v>LDA</v>
      </c>
      <c r="D229">
        <f>'Dane corrupted'!K219</f>
        <v>0.8931</v>
      </c>
    </row>
    <row r="230" spans="1:11" x14ac:dyDescent="0.3">
      <c r="A230" t="str">
        <f>'Dane corrupted'!B220</f>
        <v>MNIST-C (Shear)</v>
      </c>
      <c r="B230" t="str">
        <f>'Dane corrupted'!C220</f>
        <v>XGBoost</v>
      </c>
      <c r="C230" t="str">
        <f>'Dane corrupted'!D220</f>
        <v>PCA</v>
      </c>
      <c r="D230">
        <f>'Dane corrupted'!K220</f>
        <v>0.94310000000000005</v>
      </c>
    </row>
    <row r="231" spans="1:11" x14ac:dyDescent="0.3">
      <c r="A231" t="str">
        <f>'Dane corrupted'!B221</f>
        <v>MNIST-C (Shear)</v>
      </c>
      <c r="B231" t="str">
        <f>'Dane corrupted'!C221</f>
        <v>XGBoost</v>
      </c>
      <c r="C231" t="str">
        <f>'Dane corrupted'!D221</f>
        <v>UMAP</v>
      </c>
      <c r="D231">
        <f>'Dane corrupted'!K221</f>
        <v>0.95469999999999999</v>
      </c>
    </row>
    <row r="232" spans="1:11" x14ac:dyDescent="0.3">
      <c r="A232" t="s">
        <v>32</v>
      </c>
      <c r="B232" t="s">
        <v>38</v>
      </c>
      <c r="C232" t="s">
        <v>33</v>
      </c>
      <c r="D232" t="s">
        <v>34</v>
      </c>
      <c r="F232" s="1" t="s">
        <v>56</v>
      </c>
      <c r="G232" s="1" t="s">
        <v>35</v>
      </c>
    </row>
    <row r="233" spans="1:11" x14ac:dyDescent="0.3">
      <c r="A233" t="str">
        <f>'Dane corrupted'!B222</f>
        <v>MNIST-C (Shot Noise)</v>
      </c>
      <c r="B233" t="str">
        <f>'Dane corrupted'!C222</f>
        <v>K-Nearest Neighbors</v>
      </c>
      <c r="C233" t="str">
        <f>'Dane corrupted'!D222</f>
        <v>Brak redukcji</v>
      </c>
      <c r="D233">
        <f>'Dane corrupted'!K222</f>
        <v>0.90400000000000003</v>
      </c>
      <c r="F233" s="1" t="s">
        <v>36</v>
      </c>
      <c r="G233" t="s">
        <v>20</v>
      </c>
      <c r="H233" t="s">
        <v>26</v>
      </c>
      <c r="I233" t="s">
        <v>25</v>
      </c>
      <c r="J233" t="s">
        <v>24</v>
      </c>
      <c r="K233" t="s">
        <v>39</v>
      </c>
    </row>
    <row r="234" spans="1:11" x14ac:dyDescent="0.3">
      <c r="A234" t="str">
        <f>'Dane corrupted'!B223</f>
        <v>MNIST-C (Shot Noise)</v>
      </c>
      <c r="B234" t="str">
        <f>'Dane corrupted'!C223</f>
        <v>K-Nearest Neighbors</v>
      </c>
      <c r="C234" t="str">
        <f>'Dane corrupted'!D223</f>
        <v>Flood Fill</v>
      </c>
      <c r="D234">
        <f>'Dane corrupted'!K223</f>
        <v>0.94869999999999999</v>
      </c>
      <c r="F234" s="2" t="s">
        <v>19</v>
      </c>
      <c r="G234" s="38">
        <v>0.90400000000000003</v>
      </c>
      <c r="H234" s="38">
        <v>0.94869999999999999</v>
      </c>
      <c r="I234" s="38">
        <v>0.90129999999999999</v>
      </c>
      <c r="J234" s="38">
        <v>0.96819999999999995</v>
      </c>
      <c r="K234" s="38">
        <v>0.93130000000000002</v>
      </c>
    </row>
    <row r="235" spans="1:11" x14ac:dyDescent="0.3">
      <c r="A235" t="str">
        <f>'Dane corrupted'!B224</f>
        <v>MNIST-C (Shot Noise)</v>
      </c>
      <c r="B235" t="str">
        <f>'Dane corrupted'!C224</f>
        <v>K-Nearest Neighbors</v>
      </c>
      <c r="C235" t="str">
        <f>'Dane corrupted'!D224</f>
        <v>LDA</v>
      </c>
      <c r="D235">
        <f>'Dane corrupted'!K224</f>
        <v>0.90129999999999999</v>
      </c>
      <c r="F235" s="2" t="s">
        <v>22</v>
      </c>
      <c r="G235" s="38">
        <v>0.96479999999999999</v>
      </c>
      <c r="H235" s="38">
        <v>0.96679999999999999</v>
      </c>
      <c r="I235" s="38">
        <v>0.88749999999999996</v>
      </c>
      <c r="J235" s="38">
        <v>0.97499999999999998</v>
      </c>
      <c r="K235" s="38">
        <v>0.93230000000000002</v>
      </c>
    </row>
    <row r="236" spans="1:11" x14ac:dyDescent="0.3">
      <c r="A236" t="str">
        <f>'Dane corrupted'!B225</f>
        <v>MNIST-C (Shot Noise)</v>
      </c>
      <c r="B236" t="str">
        <f>'Dane corrupted'!C225</f>
        <v>K-Nearest Neighbors</v>
      </c>
      <c r="C236" t="str">
        <f>'Dane corrupted'!D225</f>
        <v>PCA</v>
      </c>
      <c r="D236">
        <f>'Dane corrupted'!K225</f>
        <v>0.96819999999999995</v>
      </c>
      <c r="F236" s="2" t="s">
        <v>23</v>
      </c>
      <c r="G236" s="38">
        <v>0.95760000000000001</v>
      </c>
      <c r="H236" s="38">
        <v>0.96020000000000005</v>
      </c>
      <c r="I236" s="38">
        <v>0.90790000000000004</v>
      </c>
      <c r="J236" s="38">
        <v>0.97840000000000005</v>
      </c>
      <c r="K236" s="38">
        <v>0.92930000000000001</v>
      </c>
    </row>
    <row r="237" spans="1:11" x14ac:dyDescent="0.3">
      <c r="A237" t="str">
        <f>'Dane corrupted'!B226</f>
        <v>MNIST-C (Shot Noise)</v>
      </c>
      <c r="B237" t="str">
        <f>'Dane corrupted'!C226</f>
        <v>K-Nearest Neighbors</v>
      </c>
      <c r="C237" t="str">
        <f>'Dane corrupted'!D226</f>
        <v>UMAP</v>
      </c>
      <c r="D237">
        <f>'Dane corrupted'!K226</f>
        <v>0.93130000000000002</v>
      </c>
      <c r="F237" s="2" t="s">
        <v>21</v>
      </c>
      <c r="G237" s="38">
        <v>0.93600000000000005</v>
      </c>
      <c r="H237" s="38">
        <v>0.96360000000000001</v>
      </c>
      <c r="I237" s="38">
        <v>0.90139999999999998</v>
      </c>
      <c r="J237" s="38">
        <v>0.94789999999999996</v>
      </c>
      <c r="K237" s="38">
        <v>0.93540000000000001</v>
      </c>
    </row>
    <row r="238" spans="1:11" x14ac:dyDescent="0.3">
      <c r="A238" t="str">
        <f>'Dane corrupted'!B227</f>
        <v>MNIST-C (Shot Noise)</v>
      </c>
      <c r="B238" t="str">
        <f>'Dane corrupted'!C227</f>
        <v>Multi-Layer Perceptron</v>
      </c>
      <c r="C238" t="str">
        <f>'Dane corrupted'!D227</f>
        <v>Brak redukcji</v>
      </c>
      <c r="D238">
        <f>'Dane corrupted'!K227</f>
        <v>0.96479999999999999</v>
      </c>
    </row>
    <row r="239" spans="1:11" x14ac:dyDescent="0.3">
      <c r="A239" t="str">
        <f>'Dane corrupted'!B228</f>
        <v>MNIST-C (Shot Noise)</v>
      </c>
      <c r="B239" t="str">
        <f>'Dane corrupted'!C228</f>
        <v>Multi-Layer Perceptron</v>
      </c>
      <c r="C239" t="str">
        <f>'Dane corrupted'!D228</f>
        <v>Flood Fill</v>
      </c>
      <c r="D239">
        <f>'Dane corrupted'!K228</f>
        <v>0.96679999999999999</v>
      </c>
    </row>
    <row r="240" spans="1:11" x14ac:dyDescent="0.3">
      <c r="A240" t="str">
        <f>'Dane corrupted'!B229</f>
        <v>MNIST-C (Shot Noise)</v>
      </c>
      <c r="B240" t="str">
        <f>'Dane corrupted'!C229</f>
        <v>Multi-Layer Perceptron</v>
      </c>
      <c r="C240" t="str">
        <f>'Dane corrupted'!D229</f>
        <v>LDA</v>
      </c>
      <c r="D240">
        <f>'Dane corrupted'!K229</f>
        <v>0.88749999999999996</v>
      </c>
    </row>
    <row r="241" spans="1:11" x14ac:dyDescent="0.3">
      <c r="A241" t="str">
        <f>'Dane corrupted'!B230</f>
        <v>MNIST-C (Shot Noise)</v>
      </c>
      <c r="B241" t="str">
        <f>'Dane corrupted'!C230</f>
        <v>Multi-Layer Perceptron</v>
      </c>
      <c r="C241" t="str">
        <f>'Dane corrupted'!D230</f>
        <v>PCA</v>
      </c>
      <c r="D241">
        <f>'Dane corrupted'!K230</f>
        <v>0.97499999999999998</v>
      </c>
    </row>
    <row r="242" spans="1:11" x14ac:dyDescent="0.3">
      <c r="A242" t="str">
        <f>'Dane corrupted'!B231</f>
        <v>MNIST-C (Shot Noise)</v>
      </c>
      <c r="B242" t="str">
        <f>'Dane corrupted'!C231</f>
        <v>Multi-Layer Perceptron</v>
      </c>
      <c r="C242" t="str">
        <f>'Dane corrupted'!D231</f>
        <v>UMAP</v>
      </c>
      <c r="D242">
        <f>'Dane corrupted'!K231</f>
        <v>0.93230000000000002</v>
      </c>
    </row>
    <row r="243" spans="1:11" x14ac:dyDescent="0.3">
      <c r="A243" t="str">
        <f>'Dane corrupted'!B232</f>
        <v>MNIST-C (Shot Noise)</v>
      </c>
      <c r="B243" t="str">
        <f>'Dane corrupted'!C232</f>
        <v>Support Vector Machine</v>
      </c>
      <c r="C243" t="str">
        <f>'Dane corrupted'!D232</f>
        <v>Brak redukcji</v>
      </c>
      <c r="D243">
        <f>'Dane corrupted'!K232</f>
        <v>0.95760000000000001</v>
      </c>
    </row>
    <row r="244" spans="1:11" x14ac:dyDescent="0.3">
      <c r="A244" t="str">
        <f>'Dane corrupted'!B233</f>
        <v>MNIST-C (Shot Noise)</v>
      </c>
      <c r="B244" t="str">
        <f>'Dane corrupted'!C233</f>
        <v>Support Vector Machine</v>
      </c>
      <c r="C244" t="str">
        <f>'Dane corrupted'!D233</f>
        <v>Flood Fill</v>
      </c>
      <c r="D244">
        <f>'Dane corrupted'!K233</f>
        <v>0.96020000000000005</v>
      </c>
      <c r="I244" s="3"/>
      <c r="J244" s="3"/>
      <c r="K244" s="3"/>
    </row>
    <row r="245" spans="1:11" x14ac:dyDescent="0.3">
      <c r="A245" t="str">
        <f>'Dane corrupted'!B234</f>
        <v>MNIST-C (Shot Noise)</v>
      </c>
      <c r="B245" t="str">
        <f>'Dane corrupted'!C234</f>
        <v>Support Vector Machine</v>
      </c>
      <c r="C245" t="str">
        <f>'Dane corrupted'!D234</f>
        <v>LDA</v>
      </c>
      <c r="D245">
        <f>'Dane corrupted'!K234</f>
        <v>0.90790000000000004</v>
      </c>
    </row>
    <row r="246" spans="1:11" x14ac:dyDescent="0.3">
      <c r="A246" t="str">
        <f>'Dane corrupted'!B235</f>
        <v>MNIST-C (Shot Noise)</v>
      </c>
      <c r="B246" t="str">
        <f>'Dane corrupted'!C235</f>
        <v>Support Vector Machine</v>
      </c>
      <c r="C246" t="str">
        <f>'Dane corrupted'!D235</f>
        <v>PCA</v>
      </c>
      <c r="D246">
        <f>'Dane corrupted'!K235</f>
        <v>0.97840000000000005</v>
      </c>
    </row>
    <row r="247" spans="1:11" x14ac:dyDescent="0.3">
      <c r="A247" t="str">
        <f>'Dane corrupted'!B236</f>
        <v>MNIST-C (Shot Noise)</v>
      </c>
      <c r="B247" t="str">
        <f>'Dane corrupted'!C236</f>
        <v>Support Vector Machine</v>
      </c>
      <c r="C247" t="str">
        <f>'Dane corrupted'!D236</f>
        <v>UMAP</v>
      </c>
      <c r="D247">
        <f>'Dane corrupted'!K236</f>
        <v>0.92930000000000001</v>
      </c>
    </row>
    <row r="248" spans="1:11" x14ac:dyDescent="0.3">
      <c r="A248" t="str">
        <f>'Dane corrupted'!B237</f>
        <v>MNIST-C (Shot Noise)</v>
      </c>
      <c r="B248" t="str">
        <f>'Dane corrupted'!C237</f>
        <v>XGBoost</v>
      </c>
      <c r="C248" t="str">
        <f>'Dane corrupted'!D237</f>
        <v>Brak redukcji</v>
      </c>
      <c r="D248">
        <f>'Dane corrupted'!K237</f>
        <v>0.93600000000000005</v>
      </c>
    </row>
    <row r="249" spans="1:11" x14ac:dyDescent="0.3">
      <c r="A249" t="str">
        <f>'Dane corrupted'!B238</f>
        <v>MNIST-C (Shot Noise)</v>
      </c>
      <c r="B249" t="str">
        <f>'Dane corrupted'!C238</f>
        <v>XGBoost</v>
      </c>
      <c r="C249" t="str">
        <f>'Dane corrupted'!D238</f>
        <v>Flood Fill</v>
      </c>
      <c r="D249">
        <f>'Dane corrupted'!K238</f>
        <v>0.96360000000000001</v>
      </c>
    </row>
    <row r="250" spans="1:11" x14ac:dyDescent="0.3">
      <c r="A250" t="str">
        <f>'Dane corrupted'!B239</f>
        <v>MNIST-C (Shot Noise)</v>
      </c>
      <c r="B250" t="str">
        <f>'Dane corrupted'!C239</f>
        <v>XGBoost</v>
      </c>
      <c r="C250" t="str">
        <f>'Dane corrupted'!D239</f>
        <v>LDA</v>
      </c>
      <c r="D250">
        <f>'Dane corrupted'!K239</f>
        <v>0.90139999999999998</v>
      </c>
    </row>
    <row r="251" spans="1:11" x14ac:dyDescent="0.3">
      <c r="A251" t="str">
        <f>'Dane corrupted'!B240</f>
        <v>MNIST-C (Shot Noise)</v>
      </c>
      <c r="B251" t="str">
        <f>'Dane corrupted'!C240</f>
        <v>XGBoost</v>
      </c>
      <c r="C251" t="str">
        <f>'Dane corrupted'!D240</f>
        <v>PCA</v>
      </c>
      <c r="D251">
        <f>'Dane corrupted'!K240</f>
        <v>0.94789999999999996</v>
      </c>
    </row>
    <row r="252" spans="1:11" x14ac:dyDescent="0.3">
      <c r="A252" t="str">
        <f>'Dane corrupted'!B241</f>
        <v>MNIST-C (Shot Noise)</v>
      </c>
      <c r="B252" t="str">
        <f>'Dane corrupted'!C241</f>
        <v>XGBoost</v>
      </c>
      <c r="C252" t="str">
        <f>'Dane corrupted'!D241</f>
        <v>UMAP</v>
      </c>
      <c r="D252">
        <f>'Dane corrupted'!K241</f>
        <v>0.93540000000000001</v>
      </c>
    </row>
    <row r="253" spans="1:11" x14ac:dyDescent="0.3">
      <c r="A253" t="s">
        <v>32</v>
      </c>
      <c r="B253" t="s">
        <v>38</v>
      </c>
      <c r="C253" t="s">
        <v>33</v>
      </c>
      <c r="D253" t="s">
        <v>34</v>
      </c>
      <c r="F253" s="1" t="s">
        <v>56</v>
      </c>
      <c r="G253" s="1" t="s">
        <v>35</v>
      </c>
    </row>
    <row r="254" spans="1:11" x14ac:dyDescent="0.3">
      <c r="A254" t="str">
        <f>'Dane corrupted'!B242</f>
        <v>MNIST-C (Spatter)</v>
      </c>
      <c r="B254" t="str">
        <f>'Dane corrupted'!C242</f>
        <v>K-Nearest Neighbors</v>
      </c>
      <c r="C254" t="str">
        <f>'Dane corrupted'!D242</f>
        <v>Brak redukcji</v>
      </c>
      <c r="D254">
        <f>'Dane corrupted'!K242</f>
        <v>0.90449999999999997</v>
      </c>
      <c r="F254" s="1" t="s">
        <v>36</v>
      </c>
      <c r="G254" t="s">
        <v>20</v>
      </c>
      <c r="H254" t="s">
        <v>26</v>
      </c>
      <c r="I254" t="s">
        <v>25</v>
      </c>
      <c r="J254" t="s">
        <v>24</v>
      </c>
      <c r="K254" t="s">
        <v>39</v>
      </c>
    </row>
    <row r="255" spans="1:11" x14ac:dyDescent="0.3">
      <c r="A255" t="str">
        <f>'Dane corrupted'!B243</f>
        <v>MNIST-C (Spatter)</v>
      </c>
      <c r="B255" t="str">
        <f>'Dane corrupted'!C243</f>
        <v>K-Nearest Neighbors</v>
      </c>
      <c r="C255" t="str">
        <f>'Dane corrupted'!D243</f>
        <v>Flood Fill</v>
      </c>
      <c r="D255">
        <f>'Dane corrupted'!K243</f>
        <v>0.9194</v>
      </c>
      <c r="F255" s="2" t="s">
        <v>19</v>
      </c>
      <c r="G255" s="38">
        <v>0.90449999999999997</v>
      </c>
      <c r="H255" s="38">
        <v>0.9194</v>
      </c>
      <c r="I255" s="38">
        <v>0.875</v>
      </c>
      <c r="J255" s="38">
        <v>0.96409999999999996</v>
      </c>
      <c r="K255" s="38">
        <v>0.9446</v>
      </c>
    </row>
    <row r="256" spans="1:11" x14ac:dyDescent="0.3">
      <c r="A256" t="str">
        <f>'Dane corrupted'!B244</f>
        <v>MNIST-C (Spatter)</v>
      </c>
      <c r="B256" t="str">
        <f>'Dane corrupted'!C244</f>
        <v>K-Nearest Neighbors</v>
      </c>
      <c r="C256" t="str">
        <f>'Dane corrupted'!D244</f>
        <v>LDA</v>
      </c>
      <c r="D256">
        <f>'Dane corrupted'!K244</f>
        <v>0.875</v>
      </c>
      <c r="F256" s="2" t="s">
        <v>22</v>
      </c>
      <c r="G256" s="38">
        <v>0.95130000000000003</v>
      </c>
      <c r="H256" s="38">
        <v>0.94750000000000001</v>
      </c>
      <c r="I256" s="38">
        <v>0.84930000000000005</v>
      </c>
      <c r="J256" s="38">
        <v>0.97330000000000005</v>
      </c>
      <c r="K256" s="38">
        <v>0.94450000000000001</v>
      </c>
    </row>
    <row r="257" spans="1:11" x14ac:dyDescent="0.3">
      <c r="A257" t="str">
        <f>'Dane corrupted'!B245</f>
        <v>MNIST-C (Spatter)</v>
      </c>
      <c r="B257" t="str">
        <f>'Dane corrupted'!C245</f>
        <v>K-Nearest Neighbors</v>
      </c>
      <c r="C257" t="str">
        <f>'Dane corrupted'!D245</f>
        <v>PCA</v>
      </c>
      <c r="D257">
        <f>'Dane corrupted'!K245</f>
        <v>0.96409999999999996</v>
      </c>
      <c r="F257" s="2" t="s">
        <v>23</v>
      </c>
      <c r="G257" s="38">
        <v>0.94720000000000004</v>
      </c>
      <c r="H257" s="38">
        <v>0.94389999999999996</v>
      </c>
      <c r="I257" s="38">
        <v>0.88700000000000001</v>
      </c>
      <c r="J257" s="38">
        <v>0.97219999999999995</v>
      </c>
      <c r="K257" s="38">
        <v>0.94410000000000005</v>
      </c>
    </row>
    <row r="258" spans="1:11" x14ac:dyDescent="0.3">
      <c r="A258" t="str">
        <f>'Dane corrupted'!B246</f>
        <v>MNIST-C (Spatter)</v>
      </c>
      <c r="B258" t="str">
        <f>'Dane corrupted'!C246</f>
        <v>K-Nearest Neighbors</v>
      </c>
      <c r="C258" t="str">
        <f>'Dane corrupted'!D246</f>
        <v>UMAP</v>
      </c>
      <c r="D258">
        <f>'Dane corrupted'!K246</f>
        <v>0.9446</v>
      </c>
      <c r="F258" s="2" t="s">
        <v>21</v>
      </c>
      <c r="G258" s="38">
        <v>0.92390000000000005</v>
      </c>
      <c r="H258" s="38">
        <v>0.95169999999999999</v>
      </c>
      <c r="I258" s="38">
        <v>0.87819999999999998</v>
      </c>
      <c r="J258" s="38">
        <v>0.93869999999999998</v>
      </c>
      <c r="K258" s="38">
        <v>0.94730000000000003</v>
      </c>
    </row>
    <row r="259" spans="1:11" x14ac:dyDescent="0.3">
      <c r="A259" t="str">
        <f>'Dane corrupted'!B247</f>
        <v>MNIST-C (Spatter)</v>
      </c>
      <c r="B259" t="str">
        <f>'Dane corrupted'!C247</f>
        <v>Multi-Layer Perceptron</v>
      </c>
      <c r="C259" t="str">
        <f>'Dane corrupted'!D247</f>
        <v>Brak redukcji</v>
      </c>
      <c r="D259">
        <f>'Dane corrupted'!K247</f>
        <v>0.95130000000000003</v>
      </c>
    </row>
    <row r="260" spans="1:11" x14ac:dyDescent="0.3">
      <c r="A260" t="str">
        <f>'Dane corrupted'!B248</f>
        <v>MNIST-C (Spatter)</v>
      </c>
      <c r="B260" t="str">
        <f>'Dane corrupted'!C248</f>
        <v>Multi-Layer Perceptron</v>
      </c>
      <c r="C260" t="str">
        <f>'Dane corrupted'!D248</f>
        <v>Flood Fill</v>
      </c>
      <c r="D260">
        <f>'Dane corrupted'!K248</f>
        <v>0.94750000000000001</v>
      </c>
    </row>
    <row r="261" spans="1:11" x14ac:dyDescent="0.3">
      <c r="A261" t="str">
        <f>'Dane corrupted'!B249</f>
        <v>MNIST-C (Spatter)</v>
      </c>
      <c r="B261" t="str">
        <f>'Dane corrupted'!C249</f>
        <v>Multi-Layer Perceptron</v>
      </c>
      <c r="C261" t="str">
        <f>'Dane corrupted'!D249</f>
        <v>LDA</v>
      </c>
      <c r="D261">
        <f>'Dane corrupted'!K249</f>
        <v>0.84930000000000005</v>
      </c>
    </row>
    <row r="262" spans="1:11" x14ac:dyDescent="0.3">
      <c r="A262" t="str">
        <f>'Dane corrupted'!B250</f>
        <v>MNIST-C (Spatter)</v>
      </c>
      <c r="B262" t="str">
        <f>'Dane corrupted'!C250</f>
        <v>Multi-Layer Perceptron</v>
      </c>
      <c r="C262" t="str">
        <f>'Dane corrupted'!D250</f>
        <v>PCA</v>
      </c>
      <c r="D262">
        <f>'Dane corrupted'!K250</f>
        <v>0.97330000000000005</v>
      </c>
    </row>
    <row r="263" spans="1:11" x14ac:dyDescent="0.3">
      <c r="A263" t="str">
        <f>'Dane corrupted'!B251</f>
        <v>MNIST-C (Spatter)</v>
      </c>
      <c r="B263" t="str">
        <f>'Dane corrupted'!C251</f>
        <v>Multi-Layer Perceptron</v>
      </c>
      <c r="C263" t="str">
        <f>'Dane corrupted'!D251</f>
        <v>UMAP</v>
      </c>
      <c r="D263">
        <f>'Dane corrupted'!K251</f>
        <v>0.94450000000000001</v>
      </c>
    </row>
    <row r="264" spans="1:11" x14ac:dyDescent="0.3">
      <c r="A264" t="str">
        <f>'Dane corrupted'!B252</f>
        <v>MNIST-C (Spatter)</v>
      </c>
      <c r="B264" t="str">
        <f>'Dane corrupted'!C252</f>
        <v>Support Vector Machine</v>
      </c>
      <c r="C264" t="str">
        <f>'Dane corrupted'!D252</f>
        <v>Brak redukcji</v>
      </c>
      <c r="D264">
        <f>'Dane corrupted'!K252</f>
        <v>0.94720000000000004</v>
      </c>
    </row>
    <row r="265" spans="1:11" x14ac:dyDescent="0.3">
      <c r="A265" t="str">
        <f>'Dane corrupted'!B253</f>
        <v>MNIST-C (Spatter)</v>
      </c>
      <c r="B265" t="str">
        <f>'Dane corrupted'!C253</f>
        <v>Support Vector Machine</v>
      </c>
      <c r="C265" t="str">
        <f>'Dane corrupted'!D253</f>
        <v>Flood Fill</v>
      </c>
      <c r="D265">
        <f>'Dane corrupted'!K253</f>
        <v>0.94389999999999996</v>
      </c>
    </row>
    <row r="266" spans="1:11" x14ac:dyDescent="0.3">
      <c r="A266" t="str">
        <f>'Dane corrupted'!B254</f>
        <v>MNIST-C (Spatter)</v>
      </c>
      <c r="B266" t="str">
        <f>'Dane corrupted'!C254</f>
        <v>Support Vector Machine</v>
      </c>
      <c r="C266" t="str">
        <f>'Dane corrupted'!D254</f>
        <v>LDA</v>
      </c>
      <c r="D266">
        <f>'Dane corrupted'!K254</f>
        <v>0.88700000000000001</v>
      </c>
    </row>
    <row r="267" spans="1:11" x14ac:dyDescent="0.3">
      <c r="A267" t="str">
        <f>'Dane corrupted'!B255</f>
        <v>MNIST-C (Spatter)</v>
      </c>
      <c r="B267" t="str">
        <f>'Dane corrupted'!C255</f>
        <v>Support Vector Machine</v>
      </c>
      <c r="C267" t="str">
        <f>'Dane corrupted'!D255</f>
        <v>PCA</v>
      </c>
      <c r="D267">
        <f>'Dane corrupted'!K255</f>
        <v>0.97219999999999995</v>
      </c>
    </row>
    <row r="268" spans="1:11" x14ac:dyDescent="0.3">
      <c r="A268" t="str">
        <f>'Dane corrupted'!B256</f>
        <v>MNIST-C (Spatter)</v>
      </c>
      <c r="B268" t="str">
        <f>'Dane corrupted'!C256</f>
        <v>Support Vector Machine</v>
      </c>
      <c r="C268" t="str">
        <f>'Dane corrupted'!D256</f>
        <v>UMAP</v>
      </c>
      <c r="D268">
        <f>'Dane corrupted'!K256</f>
        <v>0.94410000000000005</v>
      </c>
    </row>
    <row r="269" spans="1:11" x14ac:dyDescent="0.3">
      <c r="A269" t="str">
        <f>'Dane corrupted'!B257</f>
        <v>MNIST-C (Spatter)</v>
      </c>
      <c r="B269" t="str">
        <f>'Dane corrupted'!C257</f>
        <v>XGBoost</v>
      </c>
      <c r="C269" t="str">
        <f>'Dane corrupted'!D257</f>
        <v>Brak redukcji</v>
      </c>
      <c r="D269">
        <f>'Dane corrupted'!K257</f>
        <v>0.92390000000000005</v>
      </c>
    </row>
    <row r="270" spans="1:11" x14ac:dyDescent="0.3">
      <c r="A270" t="str">
        <f>'Dane corrupted'!B258</f>
        <v>MNIST-C (Spatter)</v>
      </c>
      <c r="B270" t="str">
        <f>'Dane corrupted'!C258</f>
        <v>XGBoost</v>
      </c>
      <c r="C270" t="str">
        <f>'Dane corrupted'!D258</f>
        <v>Flood Fill</v>
      </c>
      <c r="D270">
        <f>'Dane corrupted'!K258</f>
        <v>0.95169999999999999</v>
      </c>
    </row>
    <row r="271" spans="1:11" x14ac:dyDescent="0.3">
      <c r="A271" t="str">
        <f>'Dane corrupted'!B259</f>
        <v>MNIST-C (Spatter)</v>
      </c>
      <c r="B271" t="str">
        <f>'Dane corrupted'!C259</f>
        <v>XGBoost</v>
      </c>
      <c r="C271" t="str">
        <f>'Dane corrupted'!D259</f>
        <v>LDA</v>
      </c>
      <c r="D271">
        <f>'Dane corrupted'!K259</f>
        <v>0.87819999999999998</v>
      </c>
    </row>
    <row r="272" spans="1:11" x14ac:dyDescent="0.3">
      <c r="A272" t="str">
        <f>'Dane corrupted'!B260</f>
        <v>MNIST-C (Spatter)</v>
      </c>
      <c r="B272" t="str">
        <f>'Dane corrupted'!C260</f>
        <v>XGBoost</v>
      </c>
      <c r="C272" t="str">
        <f>'Dane corrupted'!D260</f>
        <v>PCA</v>
      </c>
      <c r="D272">
        <f>'Dane corrupted'!K260</f>
        <v>0.93869999999999998</v>
      </c>
    </row>
    <row r="273" spans="1:11" x14ac:dyDescent="0.3">
      <c r="A273" t="str">
        <f>'Dane corrupted'!B261</f>
        <v>MNIST-C (Spatter)</v>
      </c>
      <c r="B273" t="str">
        <f>'Dane corrupted'!C261</f>
        <v>XGBoost</v>
      </c>
      <c r="C273" t="str">
        <f>'Dane corrupted'!D261</f>
        <v>UMAP</v>
      </c>
      <c r="D273">
        <f>'Dane corrupted'!K261</f>
        <v>0.94730000000000003</v>
      </c>
    </row>
    <row r="274" spans="1:11" x14ac:dyDescent="0.3">
      <c r="A274" t="s">
        <v>32</v>
      </c>
      <c r="B274" t="s">
        <v>38</v>
      </c>
      <c r="C274" t="s">
        <v>33</v>
      </c>
      <c r="D274" t="s">
        <v>34</v>
      </c>
      <c r="F274" s="1" t="s">
        <v>56</v>
      </c>
      <c r="G274" s="1" t="s">
        <v>35</v>
      </c>
    </row>
    <row r="275" spans="1:11" x14ac:dyDescent="0.3">
      <c r="A275" t="str">
        <f>'Dane corrupted'!B262</f>
        <v>MNIST-C (Stripe)</v>
      </c>
      <c r="B275" t="str">
        <f>'Dane corrupted'!C262</f>
        <v>K-Nearest Neighbors</v>
      </c>
      <c r="C275" t="str">
        <f>'Dane corrupted'!D262</f>
        <v>Brak redukcji</v>
      </c>
      <c r="D275">
        <f>'Dane corrupted'!K262</f>
        <v>0.95760000000000001</v>
      </c>
      <c r="F275" s="1" t="s">
        <v>36</v>
      </c>
      <c r="G275" t="s">
        <v>20</v>
      </c>
      <c r="H275" t="s">
        <v>26</v>
      </c>
      <c r="I275" t="s">
        <v>25</v>
      </c>
      <c r="J275" t="s">
        <v>24</v>
      </c>
      <c r="K275" t="s">
        <v>39</v>
      </c>
    </row>
    <row r="276" spans="1:11" x14ac:dyDescent="0.3">
      <c r="A276" t="str">
        <f>'Dane corrupted'!B263</f>
        <v>MNIST-C (Stripe)</v>
      </c>
      <c r="B276" t="str">
        <f>'Dane corrupted'!C263</f>
        <v>K-Nearest Neighbors</v>
      </c>
      <c r="C276" t="str">
        <f>'Dane corrupted'!D263</f>
        <v>Flood Fill</v>
      </c>
      <c r="D276">
        <f>'Dane corrupted'!K263</f>
        <v>0.73809999999999998</v>
      </c>
      <c r="F276" s="2" t="s">
        <v>19</v>
      </c>
      <c r="G276" s="38">
        <v>0.95760000000000001</v>
      </c>
      <c r="H276" s="38">
        <v>0.73809999999999998</v>
      </c>
      <c r="I276" s="38">
        <v>0.91449999999999998</v>
      </c>
      <c r="J276" s="38">
        <v>0.97440000000000004</v>
      </c>
      <c r="K276" s="38">
        <v>0.95530000000000004</v>
      </c>
    </row>
    <row r="277" spans="1:11" x14ac:dyDescent="0.3">
      <c r="A277" t="str">
        <f>'Dane corrupted'!B264</f>
        <v>MNIST-C (Stripe)</v>
      </c>
      <c r="B277" t="str">
        <f>'Dane corrupted'!C264</f>
        <v>K-Nearest Neighbors</v>
      </c>
      <c r="C277" t="str">
        <f>'Dane corrupted'!D264</f>
        <v>LDA</v>
      </c>
      <c r="D277">
        <f>'Dane corrupted'!K264</f>
        <v>0.91449999999999998</v>
      </c>
      <c r="F277" s="2" t="s">
        <v>22</v>
      </c>
      <c r="G277" s="38">
        <v>0.97519999999999996</v>
      </c>
      <c r="H277" s="38">
        <v>0.77459999999999996</v>
      </c>
      <c r="I277" s="38">
        <v>0.90769999999999995</v>
      </c>
      <c r="J277" s="38">
        <v>0.98470000000000002</v>
      </c>
      <c r="K277" s="38">
        <v>0.95450000000000002</v>
      </c>
    </row>
    <row r="278" spans="1:11" x14ac:dyDescent="0.3">
      <c r="A278" t="str">
        <f>'Dane corrupted'!B265</f>
        <v>MNIST-C (Stripe)</v>
      </c>
      <c r="B278" t="str">
        <f>'Dane corrupted'!C265</f>
        <v>K-Nearest Neighbors</v>
      </c>
      <c r="C278" t="str">
        <f>'Dane corrupted'!D265</f>
        <v>PCA</v>
      </c>
      <c r="D278">
        <f>'Dane corrupted'!K265</f>
        <v>0.97440000000000004</v>
      </c>
      <c r="F278" s="2" t="s">
        <v>23</v>
      </c>
      <c r="G278" s="38">
        <v>0.96660000000000001</v>
      </c>
      <c r="H278" s="38">
        <v>0.72260000000000002</v>
      </c>
      <c r="I278" s="38">
        <v>0.92149999999999999</v>
      </c>
      <c r="J278" s="38">
        <v>0.98280000000000001</v>
      </c>
      <c r="K278" s="38">
        <v>0.95389999999999997</v>
      </c>
    </row>
    <row r="279" spans="1:11" x14ac:dyDescent="0.3">
      <c r="A279" t="str">
        <f>'Dane corrupted'!B266</f>
        <v>MNIST-C (Stripe)</v>
      </c>
      <c r="B279" t="str">
        <f>'Dane corrupted'!C266</f>
        <v>K-Nearest Neighbors</v>
      </c>
      <c r="C279" t="str">
        <f>'Dane corrupted'!D266</f>
        <v>UMAP</v>
      </c>
      <c r="D279">
        <f>'Dane corrupted'!K266</f>
        <v>0.95530000000000004</v>
      </c>
      <c r="F279" s="2" t="s">
        <v>21</v>
      </c>
      <c r="G279" s="38">
        <v>0.96550000000000002</v>
      </c>
      <c r="H279" s="38">
        <v>0.77110000000000001</v>
      </c>
      <c r="I279" s="38">
        <v>0.91479999999999995</v>
      </c>
      <c r="J279" s="38">
        <v>0.9546</v>
      </c>
      <c r="K279" s="38">
        <v>0.95579999999999998</v>
      </c>
    </row>
    <row r="280" spans="1:11" x14ac:dyDescent="0.3">
      <c r="A280" t="str">
        <f>'Dane corrupted'!B267</f>
        <v>MNIST-C (Stripe)</v>
      </c>
      <c r="B280" t="str">
        <f>'Dane corrupted'!C267</f>
        <v>Multi-Layer Perceptron</v>
      </c>
      <c r="C280" t="str">
        <f>'Dane corrupted'!D267</f>
        <v>Brak redukcji</v>
      </c>
      <c r="D280">
        <f>'Dane corrupted'!K267</f>
        <v>0.97519999999999996</v>
      </c>
    </row>
    <row r="281" spans="1:11" x14ac:dyDescent="0.3">
      <c r="A281" t="str">
        <f>'Dane corrupted'!B268</f>
        <v>MNIST-C (Stripe)</v>
      </c>
      <c r="B281" t="str">
        <f>'Dane corrupted'!C268</f>
        <v>Multi-Layer Perceptron</v>
      </c>
      <c r="C281" t="str">
        <f>'Dane corrupted'!D268</f>
        <v>Flood Fill</v>
      </c>
      <c r="D281">
        <f>'Dane corrupted'!K268</f>
        <v>0.77459999999999996</v>
      </c>
    </row>
    <row r="282" spans="1:11" x14ac:dyDescent="0.3">
      <c r="A282" t="str">
        <f>'Dane corrupted'!B269</f>
        <v>MNIST-C (Stripe)</v>
      </c>
      <c r="B282" t="str">
        <f>'Dane corrupted'!C269</f>
        <v>Multi-Layer Perceptron</v>
      </c>
      <c r="C282" t="str">
        <f>'Dane corrupted'!D269</f>
        <v>LDA</v>
      </c>
      <c r="D282">
        <f>'Dane corrupted'!K269</f>
        <v>0.90769999999999995</v>
      </c>
    </row>
    <row r="283" spans="1:11" x14ac:dyDescent="0.3">
      <c r="A283" t="str">
        <f>'Dane corrupted'!B270</f>
        <v>MNIST-C (Stripe)</v>
      </c>
      <c r="B283" t="str">
        <f>'Dane corrupted'!C270</f>
        <v>Multi-Layer Perceptron</v>
      </c>
      <c r="C283" t="str">
        <f>'Dane corrupted'!D270</f>
        <v>PCA</v>
      </c>
      <c r="D283">
        <f>'Dane corrupted'!K270</f>
        <v>0.98470000000000002</v>
      </c>
    </row>
    <row r="284" spans="1:11" x14ac:dyDescent="0.3">
      <c r="A284" t="str">
        <f>'Dane corrupted'!B271</f>
        <v>MNIST-C (Stripe)</v>
      </c>
      <c r="B284" t="str">
        <f>'Dane corrupted'!C271</f>
        <v>Multi-Layer Perceptron</v>
      </c>
      <c r="C284" t="str">
        <f>'Dane corrupted'!D271</f>
        <v>UMAP</v>
      </c>
      <c r="D284">
        <f>'Dane corrupted'!K271</f>
        <v>0.95450000000000002</v>
      </c>
    </row>
    <row r="285" spans="1:11" x14ac:dyDescent="0.3">
      <c r="A285" t="str">
        <f>'Dane corrupted'!B272</f>
        <v>MNIST-C (Stripe)</v>
      </c>
      <c r="B285" t="str">
        <f>'Dane corrupted'!C272</f>
        <v>Support Vector Machine</v>
      </c>
      <c r="C285" t="str">
        <f>'Dane corrupted'!D272</f>
        <v>Brak redukcji</v>
      </c>
      <c r="D285">
        <f>'Dane corrupted'!K272</f>
        <v>0.96660000000000001</v>
      </c>
    </row>
    <row r="286" spans="1:11" x14ac:dyDescent="0.3">
      <c r="A286" t="str">
        <f>'Dane corrupted'!B273</f>
        <v>MNIST-C (Stripe)</v>
      </c>
      <c r="B286" t="str">
        <f>'Dane corrupted'!C273</f>
        <v>Support Vector Machine</v>
      </c>
      <c r="C286" t="str">
        <f>'Dane corrupted'!D273</f>
        <v>Flood Fill</v>
      </c>
      <c r="D286">
        <f>'Dane corrupted'!K273</f>
        <v>0.72260000000000002</v>
      </c>
    </row>
    <row r="287" spans="1:11" x14ac:dyDescent="0.3">
      <c r="A287" t="str">
        <f>'Dane corrupted'!B274</f>
        <v>MNIST-C (Stripe)</v>
      </c>
      <c r="B287" t="str">
        <f>'Dane corrupted'!C274</f>
        <v>Support Vector Machine</v>
      </c>
      <c r="C287" t="str">
        <f>'Dane corrupted'!D274</f>
        <v>LDA</v>
      </c>
      <c r="D287">
        <f>'Dane corrupted'!K274</f>
        <v>0.92149999999999999</v>
      </c>
    </row>
    <row r="288" spans="1:11" x14ac:dyDescent="0.3">
      <c r="A288" t="str">
        <f>'Dane corrupted'!B275</f>
        <v>MNIST-C (Stripe)</v>
      </c>
      <c r="B288" t="str">
        <f>'Dane corrupted'!C275</f>
        <v>Support Vector Machine</v>
      </c>
      <c r="C288" t="str">
        <f>'Dane corrupted'!D275</f>
        <v>PCA</v>
      </c>
      <c r="D288">
        <f>'Dane corrupted'!K275</f>
        <v>0.98280000000000001</v>
      </c>
    </row>
    <row r="289" spans="1:11" x14ac:dyDescent="0.3">
      <c r="A289" t="str">
        <f>'Dane corrupted'!B276</f>
        <v>MNIST-C (Stripe)</v>
      </c>
      <c r="B289" t="str">
        <f>'Dane corrupted'!C276</f>
        <v>Support Vector Machine</v>
      </c>
      <c r="C289" t="str">
        <f>'Dane corrupted'!D276</f>
        <v>UMAP</v>
      </c>
      <c r="D289">
        <f>'Dane corrupted'!K276</f>
        <v>0.95389999999999997</v>
      </c>
    </row>
    <row r="290" spans="1:11" x14ac:dyDescent="0.3">
      <c r="A290" t="str">
        <f>'Dane corrupted'!B277</f>
        <v>MNIST-C (Stripe)</v>
      </c>
      <c r="B290" t="str">
        <f>'Dane corrupted'!C277</f>
        <v>XGBoost</v>
      </c>
      <c r="C290" t="str">
        <f>'Dane corrupted'!D277</f>
        <v>Brak redukcji</v>
      </c>
      <c r="D290">
        <f>'Dane corrupted'!K277</f>
        <v>0.96550000000000002</v>
      </c>
    </row>
    <row r="291" spans="1:11" x14ac:dyDescent="0.3">
      <c r="A291" t="str">
        <f>'Dane corrupted'!B278</f>
        <v>MNIST-C (Stripe)</v>
      </c>
      <c r="B291" t="str">
        <f>'Dane corrupted'!C278</f>
        <v>XGBoost</v>
      </c>
      <c r="C291" t="str">
        <f>'Dane corrupted'!D278</f>
        <v>Flood Fill</v>
      </c>
      <c r="D291">
        <f>'Dane corrupted'!K278</f>
        <v>0.77110000000000001</v>
      </c>
    </row>
    <row r="292" spans="1:11" x14ac:dyDescent="0.3">
      <c r="A292" t="str">
        <f>'Dane corrupted'!B279</f>
        <v>MNIST-C (Stripe)</v>
      </c>
      <c r="B292" t="str">
        <f>'Dane corrupted'!C279</f>
        <v>XGBoost</v>
      </c>
      <c r="C292" t="str">
        <f>'Dane corrupted'!D279</f>
        <v>LDA</v>
      </c>
      <c r="D292">
        <f>'Dane corrupted'!K279</f>
        <v>0.91479999999999995</v>
      </c>
    </row>
    <row r="293" spans="1:11" x14ac:dyDescent="0.3">
      <c r="A293" t="str">
        <f>'Dane corrupted'!B280</f>
        <v>MNIST-C (Stripe)</v>
      </c>
      <c r="B293" t="str">
        <f>'Dane corrupted'!C280</f>
        <v>XGBoost</v>
      </c>
      <c r="C293" t="str">
        <f>'Dane corrupted'!D280</f>
        <v>PCA</v>
      </c>
      <c r="D293">
        <f>'Dane corrupted'!K280</f>
        <v>0.9546</v>
      </c>
    </row>
    <row r="294" spans="1:11" x14ac:dyDescent="0.3">
      <c r="A294" t="str">
        <f>'Dane corrupted'!B281</f>
        <v>MNIST-C (Stripe)</v>
      </c>
      <c r="B294" t="str">
        <f>'Dane corrupted'!C281</f>
        <v>XGBoost</v>
      </c>
      <c r="C294" t="str">
        <f>'Dane corrupted'!D281</f>
        <v>UMAP</v>
      </c>
      <c r="D294">
        <f>'Dane corrupted'!K281</f>
        <v>0.95579999999999998</v>
      </c>
    </row>
    <row r="295" spans="1:11" x14ac:dyDescent="0.3">
      <c r="A295" t="s">
        <v>32</v>
      </c>
      <c r="B295" t="s">
        <v>38</v>
      </c>
      <c r="C295" t="s">
        <v>33</v>
      </c>
      <c r="D295" t="s">
        <v>34</v>
      </c>
      <c r="F295" s="1" t="s">
        <v>56</v>
      </c>
      <c r="G295" s="1" t="s">
        <v>35</v>
      </c>
    </row>
    <row r="296" spans="1:11" x14ac:dyDescent="0.3">
      <c r="A296" t="str">
        <f>'Dane corrupted'!B282</f>
        <v>MNIST-C (Translate)</v>
      </c>
      <c r="B296" t="str">
        <f>'Dane corrupted'!C282</f>
        <v>K-Nearest Neighbors</v>
      </c>
      <c r="C296" t="str">
        <f>'Dane corrupted'!D282</f>
        <v>Brak redukcji</v>
      </c>
      <c r="D296">
        <f>'Dane corrupted'!K282</f>
        <v>0.93920000000000003</v>
      </c>
      <c r="F296" s="1" t="s">
        <v>36</v>
      </c>
      <c r="G296" t="s">
        <v>20</v>
      </c>
      <c r="H296" t="s">
        <v>26</v>
      </c>
      <c r="I296" t="s">
        <v>25</v>
      </c>
      <c r="J296" t="s">
        <v>24</v>
      </c>
      <c r="K296" t="s">
        <v>39</v>
      </c>
    </row>
    <row r="297" spans="1:11" x14ac:dyDescent="0.3">
      <c r="A297" t="str">
        <f>'Dane corrupted'!B283</f>
        <v>MNIST-C (Translate)</v>
      </c>
      <c r="B297" t="str">
        <f>'Dane corrupted'!C283</f>
        <v>K-Nearest Neighbors</v>
      </c>
      <c r="C297" t="str">
        <f>'Dane corrupted'!D283</f>
        <v>Flood Fill</v>
      </c>
      <c r="D297">
        <f>'Dane corrupted'!K283</f>
        <v>0.95289999999999997</v>
      </c>
      <c r="F297" s="2" t="s">
        <v>19</v>
      </c>
      <c r="G297" s="38">
        <v>0.93920000000000003</v>
      </c>
      <c r="H297" s="38">
        <v>0.95289999999999997</v>
      </c>
      <c r="I297" s="38">
        <v>0.73280000000000001</v>
      </c>
      <c r="J297" s="38">
        <v>0.96099999999999997</v>
      </c>
      <c r="K297" s="38">
        <v>0.9335</v>
      </c>
    </row>
    <row r="298" spans="1:11" x14ac:dyDescent="0.3">
      <c r="A298" t="str">
        <f>'Dane corrupted'!B284</f>
        <v>MNIST-C (Translate)</v>
      </c>
      <c r="B298" t="str">
        <f>'Dane corrupted'!C284</f>
        <v>K-Nearest Neighbors</v>
      </c>
      <c r="C298" t="str">
        <f>'Dane corrupted'!D284</f>
        <v>LDA</v>
      </c>
      <c r="D298">
        <f>'Dane corrupted'!K284</f>
        <v>0.73280000000000001</v>
      </c>
      <c r="F298" s="2" t="s">
        <v>22</v>
      </c>
      <c r="G298" s="38">
        <v>0.95379999999999998</v>
      </c>
      <c r="H298" s="38">
        <v>0.97319999999999995</v>
      </c>
      <c r="I298" s="38">
        <v>0.71060000000000001</v>
      </c>
      <c r="J298" s="38">
        <v>0.96660000000000001</v>
      </c>
      <c r="K298" s="38">
        <v>0.9274</v>
      </c>
    </row>
    <row r="299" spans="1:11" x14ac:dyDescent="0.3">
      <c r="A299" t="str">
        <f>'Dane corrupted'!B285</f>
        <v>MNIST-C (Translate)</v>
      </c>
      <c r="B299" t="str">
        <f>'Dane corrupted'!C285</f>
        <v>K-Nearest Neighbors</v>
      </c>
      <c r="C299" t="str">
        <f>'Dane corrupted'!D285</f>
        <v>PCA</v>
      </c>
      <c r="D299">
        <f>'Dane corrupted'!K285</f>
        <v>0.96099999999999997</v>
      </c>
      <c r="F299" s="2" t="s">
        <v>23</v>
      </c>
      <c r="G299" s="38">
        <v>0.95620000000000005</v>
      </c>
      <c r="H299" s="38">
        <v>0.96240000000000003</v>
      </c>
      <c r="I299" s="38">
        <v>0.75260000000000005</v>
      </c>
      <c r="J299" s="38">
        <v>0.96640000000000004</v>
      </c>
      <c r="K299" s="38">
        <v>0.92730000000000001</v>
      </c>
    </row>
    <row r="300" spans="1:11" x14ac:dyDescent="0.3">
      <c r="A300" t="str">
        <f>'Dane corrupted'!B286</f>
        <v>MNIST-C (Translate)</v>
      </c>
      <c r="B300" t="str">
        <f>'Dane corrupted'!C286</f>
        <v>K-Nearest Neighbors</v>
      </c>
      <c r="C300" t="str">
        <f>'Dane corrupted'!D286</f>
        <v>UMAP</v>
      </c>
      <c r="D300">
        <f>'Dane corrupted'!K286</f>
        <v>0.9335</v>
      </c>
      <c r="F300" s="2" t="s">
        <v>21</v>
      </c>
      <c r="G300" s="38">
        <v>0.90659999999999996</v>
      </c>
      <c r="H300" s="38">
        <v>0.96530000000000005</v>
      </c>
      <c r="I300" s="38">
        <v>0.74150000000000005</v>
      </c>
      <c r="J300" s="38">
        <v>0.9123</v>
      </c>
      <c r="K300" s="38">
        <v>0.93730000000000002</v>
      </c>
    </row>
    <row r="301" spans="1:11" x14ac:dyDescent="0.3">
      <c r="A301" t="str">
        <f>'Dane corrupted'!B287</f>
        <v>MNIST-C (Translate)</v>
      </c>
      <c r="B301" t="str">
        <f>'Dane corrupted'!C287</f>
        <v>Multi-Layer Perceptron</v>
      </c>
      <c r="C301" t="str">
        <f>'Dane corrupted'!D287</f>
        <v>Brak redukcji</v>
      </c>
      <c r="D301">
        <f>'Dane corrupted'!K287</f>
        <v>0.95379999999999998</v>
      </c>
    </row>
    <row r="302" spans="1:11" x14ac:dyDescent="0.3">
      <c r="A302" t="str">
        <f>'Dane corrupted'!B288</f>
        <v>MNIST-C (Translate)</v>
      </c>
      <c r="B302" t="str">
        <f>'Dane corrupted'!C288</f>
        <v>Multi-Layer Perceptron</v>
      </c>
      <c r="C302" t="str">
        <f>'Dane corrupted'!D288</f>
        <v>Flood Fill</v>
      </c>
      <c r="D302">
        <f>'Dane corrupted'!K288</f>
        <v>0.97319999999999995</v>
      </c>
    </row>
    <row r="303" spans="1:11" x14ac:dyDescent="0.3">
      <c r="A303" t="str">
        <f>'Dane corrupted'!B289</f>
        <v>MNIST-C (Translate)</v>
      </c>
      <c r="B303" t="str">
        <f>'Dane corrupted'!C289</f>
        <v>Multi-Layer Perceptron</v>
      </c>
      <c r="C303" t="str">
        <f>'Dane corrupted'!D289</f>
        <v>LDA</v>
      </c>
      <c r="D303">
        <f>'Dane corrupted'!K289</f>
        <v>0.71060000000000001</v>
      </c>
    </row>
    <row r="304" spans="1:11" x14ac:dyDescent="0.3">
      <c r="A304" t="str">
        <f>'Dane corrupted'!B290</f>
        <v>MNIST-C (Translate)</v>
      </c>
      <c r="B304" t="str">
        <f>'Dane corrupted'!C290</f>
        <v>Multi-Layer Perceptron</v>
      </c>
      <c r="C304" t="str">
        <f>'Dane corrupted'!D290</f>
        <v>PCA</v>
      </c>
      <c r="D304">
        <f>'Dane corrupted'!K290</f>
        <v>0.96660000000000001</v>
      </c>
    </row>
    <row r="305" spans="1:11" x14ac:dyDescent="0.3">
      <c r="A305" t="str">
        <f>'Dane corrupted'!B291</f>
        <v>MNIST-C (Translate)</v>
      </c>
      <c r="B305" t="str">
        <f>'Dane corrupted'!C291</f>
        <v>Multi-Layer Perceptron</v>
      </c>
      <c r="C305" t="str">
        <f>'Dane corrupted'!D291</f>
        <v>UMAP</v>
      </c>
      <c r="D305">
        <f>'Dane corrupted'!K291</f>
        <v>0.9274</v>
      </c>
    </row>
    <row r="306" spans="1:11" x14ac:dyDescent="0.3">
      <c r="A306" t="str">
        <f>'Dane corrupted'!B292</f>
        <v>MNIST-C (Translate)</v>
      </c>
      <c r="B306" t="str">
        <f>'Dane corrupted'!C292</f>
        <v>Support Vector Machine</v>
      </c>
      <c r="C306" t="str">
        <f>'Dane corrupted'!D292</f>
        <v>Brak redukcji</v>
      </c>
      <c r="D306">
        <f>'Dane corrupted'!K292</f>
        <v>0.95620000000000005</v>
      </c>
    </row>
    <row r="307" spans="1:11" x14ac:dyDescent="0.3">
      <c r="A307" t="str">
        <f>'Dane corrupted'!B293</f>
        <v>MNIST-C (Translate)</v>
      </c>
      <c r="B307" t="str">
        <f>'Dane corrupted'!C293</f>
        <v>Support Vector Machine</v>
      </c>
      <c r="C307" t="str">
        <f>'Dane corrupted'!D293</f>
        <v>Flood Fill</v>
      </c>
      <c r="D307">
        <f>'Dane corrupted'!K293</f>
        <v>0.96240000000000003</v>
      </c>
    </row>
    <row r="308" spans="1:11" x14ac:dyDescent="0.3">
      <c r="A308" t="str">
        <f>'Dane corrupted'!B294</f>
        <v>MNIST-C (Translate)</v>
      </c>
      <c r="B308" t="str">
        <f>'Dane corrupted'!C294</f>
        <v>Support Vector Machine</v>
      </c>
      <c r="C308" t="str">
        <f>'Dane corrupted'!D294</f>
        <v>LDA</v>
      </c>
      <c r="D308">
        <f>'Dane corrupted'!K294</f>
        <v>0.75260000000000005</v>
      </c>
    </row>
    <row r="309" spans="1:11" x14ac:dyDescent="0.3">
      <c r="A309" t="str">
        <f>'Dane corrupted'!B295</f>
        <v>MNIST-C (Translate)</v>
      </c>
      <c r="B309" t="str">
        <f>'Dane corrupted'!C295</f>
        <v>Support Vector Machine</v>
      </c>
      <c r="C309" t="str">
        <f>'Dane corrupted'!D295</f>
        <v>PCA</v>
      </c>
      <c r="D309">
        <f>'Dane corrupted'!K295</f>
        <v>0.96640000000000004</v>
      </c>
    </row>
    <row r="310" spans="1:11" x14ac:dyDescent="0.3">
      <c r="A310" t="str">
        <f>'Dane corrupted'!B296</f>
        <v>MNIST-C (Translate)</v>
      </c>
      <c r="B310" t="str">
        <f>'Dane corrupted'!C296</f>
        <v>Support Vector Machine</v>
      </c>
      <c r="C310" t="str">
        <f>'Dane corrupted'!D296</f>
        <v>UMAP</v>
      </c>
      <c r="D310">
        <f>'Dane corrupted'!K296</f>
        <v>0.92730000000000001</v>
      </c>
    </row>
    <row r="311" spans="1:11" x14ac:dyDescent="0.3">
      <c r="A311" t="str">
        <f>'Dane corrupted'!B297</f>
        <v>MNIST-C (Translate)</v>
      </c>
      <c r="B311" t="str">
        <f>'Dane corrupted'!C297</f>
        <v>XGBoost</v>
      </c>
      <c r="C311" t="str">
        <f>'Dane corrupted'!D297</f>
        <v>Brak redukcji</v>
      </c>
      <c r="D311">
        <f>'Dane corrupted'!K297</f>
        <v>0.90659999999999996</v>
      </c>
    </row>
    <row r="312" spans="1:11" x14ac:dyDescent="0.3">
      <c r="A312" t="str">
        <f>'Dane corrupted'!B298</f>
        <v>MNIST-C (Translate)</v>
      </c>
      <c r="B312" t="str">
        <f>'Dane corrupted'!C298</f>
        <v>XGBoost</v>
      </c>
      <c r="C312" t="str">
        <f>'Dane corrupted'!D298</f>
        <v>Flood Fill</v>
      </c>
      <c r="D312">
        <f>'Dane corrupted'!K298</f>
        <v>0.96530000000000005</v>
      </c>
    </row>
    <row r="313" spans="1:11" x14ac:dyDescent="0.3">
      <c r="A313" t="str">
        <f>'Dane corrupted'!B299</f>
        <v>MNIST-C (Translate)</v>
      </c>
      <c r="B313" t="str">
        <f>'Dane corrupted'!C299</f>
        <v>XGBoost</v>
      </c>
      <c r="C313" t="str">
        <f>'Dane corrupted'!D299</f>
        <v>LDA</v>
      </c>
      <c r="D313">
        <f>'Dane corrupted'!K299</f>
        <v>0.74150000000000005</v>
      </c>
    </row>
    <row r="314" spans="1:11" x14ac:dyDescent="0.3">
      <c r="A314" t="str">
        <f>'Dane corrupted'!B300</f>
        <v>MNIST-C (Translate)</v>
      </c>
      <c r="B314" t="str">
        <f>'Dane corrupted'!C300</f>
        <v>XGBoost</v>
      </c>
      <c r="C314" t="str">
        <f>'Dane corrupted'!D300</f>
        <v>PCA</v>
      </c>
      <c r="D314">
        <f>'Dane corrupted'!K300</f>
        <v>0.9123</v>
      </c>
    </row>
    <row r="315" spans="1:11" x14ac:dyDescent="0.3">
      <c r="A315" t="str">
        <f>'Dane corrupted'!B301</f>
        <v>MNIST-C (Translate)</v>
      </c>
      <c r="B315" t="str">
        <f>'Dane corrupted'!C301</f>
        <v>XGBoost</v>
      </c>
      <c r="C315" t="str">
        <f>'Dane corrupted'!D301</f>
        <v>UMAP</v>
      </c>
      <c r="D315">
        <f>'Dane corrupted'!K301</f>
        <v>0.93730000000000002</v>
      </c>
    </row>
    <row r="316" spans="1:11" x14ac:dyDescent="0.3">
      <c r="A316" t="s">
        <v>32</v>
      </c>
      <c r="B316" t="s">
        <v>38</v>
      </c>
      <c r="C316" t="s">
        <v>33</v>
      </c>
      <c r="D316" t="s">
        <v>34</v>
      </c>
      <c r="F316" s="1" t="s">
        <v>56</v>
      </c>
      <c r="G316" s="1" t="s">
        <v>35</v>
      </c>
    </row>
    <row r="317" spans="1:11" x14ac:dyDescent="0.3">
      <c r="A317" t="str">
        <f>'Dane corrupted'!B298</f>
        <v>MNIST-C (Translate)</v>
      </c>
      <c r="B317" t="str">
        <f>'Dane corrupted'!C298</f>
        <v>XGBoost</v>
      </c>
      <c r="C317" t="str">
        <f>'Dane corrupted'!D298</f>
        <v>Flood Fill</v>
      </c>
      <c r="D317">
        <f>'Dane corrupted'!K298</f>
        <v>0.96530000000000005</v>
      </c>
      <c r="F317" s="1" t="s">
        <v>36</v>
      </c>
      <c r="G317" t="s">
        <v>20</v>
      </c>
      <c r="H317" t="s">
        <v>26</v>
      </c>
      <c r="I317" t="s">
        <v>25</v>
      </c>
      <c r="J317" t="s">
        <v>24</v>
      </c>
      <c r="K317" t="s">
        <v>39</v>
      </c>
    </row>
    <row r="318" spans="1:11" x14ac:dyDescent="0.3">
      <c r="A318" t="str">
        <f>'Dane corrupted'!B299</f>
        <v>MNIST-C (Translate)</v>
      </c>
      <c r="B318" t="str">
        <f>'Dane corrupted'!C299</f>
        <v>XGBoost</v>
      </c>
      <c r="C318" t="str">
        <f>'Dane corrupted'!D299</f>
        <v>LDA</v>
      </c>
      <c r="D318">
        <f>'Dane corrupted'!K299</f>
        <v>0.74150000000000005</v>
      </c>
      <c r="F318" s="2" t="s">
        <v>19</v>
      </c>
      <c r="G318" s="38">
        <v>0.8276</v>
      </c>
      <c r="H318" s="38">
        <v>0.879</v>
      </c>
      <c r="I318" s="38">
        <v>0.90600000000000003</v>
      </c>
      <c r="J318" s="38">
        <v>0.9274</v>
      </c>
      <c r="K318" s="38">
        <v>0.74550000000000005</v>
      </c>
    </row>
    <row r="319" spans="1:11" x14ac:dyDescent="0.3">
      <c r="A319" t="str">
        <f>'Dane corrupted'!B300</f>
        <v>MNIST-C (Translate)</v>
      </c>
      <c r="B319" t="str">
        <f>'Dane corrupted'!C300</f>
        <v>XGBoost</v>
      </c>
      <c r="C319" t="str">
        <f>'Dane corrupted'!D300</f>
        <v>PCA</v>
      </c>
      <c r="D319">
        <f>'Dane corrupted'!K300</f>
        <v>0.9123</v>
      </c>
      <c r="F319" s="2" t="s">
        <v>22</v>
      </c>
      <c r="G319" s="38">
        <v>0.96230000000000004</v>
      </c>
      <c r="H319" s="38">
        <v>0.93700000000000006</v>
      </c>
      <c r="I319" s="38">
        <v>0.88990000000000002</v>
      </c>
      <c r="J319" s="38">
        <v>0.97050000000000003</v>
      </c>
      <c r="K319" s="38">
        <v>0.72619999999999996</v>
      </c>
    </row>
    <row r="320" spans="1:11" x14ac:dyDescent="0.3">
      <c r="A320" t="str">
        <f>'Dane corrupted'!B301</f>
        <v>MNIST-C (Translate)</v>
      </c>
      <c r="B320" t="str">
        <f>'Dane corrupted'!C301</f>
        <v>XGBoost</v>
      </c>
      <c r="C320" t="str">
        <f>'Dane corrupted'!D301</f>
        <v>UMAP</v>
      </c>
      <c r="D320">
        <f>'Dane corrupted'!K301</f>
        <v>0.93730000000000002</v>
      </c>
      <c r="F320" s="2" t="s">
        <v>23</v>
      </c>
      <c r="G320" s="38">
        <v>0.9587</v>
      </c>
      <c r="H320" s="38">
        <v>0.9204</v>
      </c>
      <c r="I320" s="38">
        <v>0.9103</v>
      </c>
      <c r="J320" s="38">
        <v>0.96660000000000001</v>
      </c>
      <c r="K320" s="38">
        <v>0.71109999999999995</v>
      </c>
    </row>
    <row r="321" spans="1:11" x14ac:dyDescent="0.3">
      <c r="A321" t="str">
        <f>'Dane corrupted'!B302</f>
        <v>MNIST-C (Zigzag)</v>
      </c>
      <c r="B321" t="str">
        <f>'Dane corrupted'!C302</f>
        <v>K-Nearest Neighbors</v>
      </c>
      <c r="C321" t="str">
        <f>'Dane corrupted'!D302</f>
        <v>Brak redukcji</v>
      </c>
      <c r="D321">
        <f>'Dane corrupted'!K302</f>
        <v>0.8276</v>
      </c>
      <c r="F321" s="2" t="s">
        <v>21</v>
      </c>
      <c r="G321" s="38">
        <v>0.94989999999999997</v>
      </c>
      <c r="H321" s="38">
        <v>0.92689999999999995</v>
      </c>
      <c r="I321" s="38">
        <v>0.90210000000000001</v>
      </c>
      <c r="J321" s="38">
        <v>0.91479999999999995</v>
      </c>
      <c r="K321" s="38">
        <v>0.77410000000000001</v>
      </c>
    </row>
    <row r="322" spans="1:11" x14ac:dyDescent="0.3">
      <c r="A322" t="str">
        <f>'Dane corrupted'!B303</f>
        <v>MNIST-C (Zigzag)</v>
      </c>
      <c r="B322" t="str">
        <f>'Dane corrupted'!C303</f>
        <v>K-Nearest Neighbors</v>
      </c>
      <c r="C322" t="str">
        <f>'Dane corrupted'!D303</f>
        <v>Flood Fill</v>
      </c>
      <c r="D322">
        <f>'Dane corrupted'!K303</f>
        <v>0.879</v>
      </c>
    </row>
    <row r="323" spans="1:11" x14ac:dyDescent="0.3">
      <c r="A323" t="str">
        <f>'Dane corrupted'!B304</f>
        <v>MNIST-C (Zigzag)</v>
      </c>
      <c r="B323" t="str">
        <f>'Dane corrupted'!C304</f>
        <v>K-Nearest Neighbors</v>
      </c>
      <c r="C323" t="str">
        <f>'Dane corrupted'!D304</f>
        <v>LDA</v>
      </c>
      <c r="D323">
        <f>'Dane corrupted'!K304</f>
        <v>0.90600000000000003</v>
      </c>
    </row>
    <row r="324" spans="1:11" x14ac:dyDescent="0.3">
      <c r="A324" t="str">
        <f>'Dane corrupted'!B305</f>
        <v>MNIST-C (Zigzag)</v>
      </c>
      <c r="B324" t="str">
        <f>'Dane corrupted'!C305</f>
        <v>K-Nearest Neighbors</v>
      </c>
      <c r="C324" t="str">
        <f>'Dane corrupted'!D305</f>
        <v>PCA</v>
      </c>
      <c r="D324">
        <f>'Dane corrupted'!K305</f>
        <v>0.9274</v>
      </c>
    </row>
    <row r="325" spans="1:11" x14ac:dyDescent="0.3">
      <c r="A325" t="str">
        <f>'Dane corrupted'!B306</f>
        <v>MNIST-C (Zigzag)</v>
      </c>
      <c r="B325" t="str">
        <f>'Dane corrupted'!C306</f>
        <v>K-Nearest Neighbors</v>
      </c>
      <c r="C325" t="str">
        <f>'Dane corrupted'!D306</f>
        <v>UMAP</v>
      </c>
      <c r="D325">
        <f>'Dane corrupted'!K306</f>
        <v>0.74550000000000005</v>
      </c>
    </row>
    <row r="326" spans="1:11" x14ac:dyDescent="0.3">
      <c r="A326" t="str">
        <f>'Dane corrupted'!B307</f>
        <v>MNIST-C (Zigzag)</v>
      </c>
      <c r="B326" t="str">
        <f>'Dane corrupted'!C307</f>
        <v>Multi-Layer Perceptron</v>
      </c>
      <c r="C326" t="str">
        <f>'Dane corrupted'!D307</f>
        <v>Brak redukcji</v>
      </c>
      <c r="D326">
        <f>'Dane corrupted'!K307</f>
        <v>0.96230000000000004</v>
      </c>
    </row>
    <row r="327" spans="1:11" x14ac:dyDescent="0.3">
      <c r="A327" t="str">
        <f>'Dane corrupted'!B308</f>
        <v>MNIST-C (Zigzag)</v>
      </c>
      <c r="B327" t="str">
        <f>'Dane corrupted'!C308</f>
        <v>Multi-Layer Perceptron</v>
      </c>
      <c r="C327" t="str">
        <f>'Dane corrupted'!D308</f>
        <v>Flood Fill</v>
      </c>
      <c r="D327">
        <f>'Dane corrupted'!K308</f>
        <v>0.93700000000000006</v>
      </c>
    </row>
    <row r="328" spans="1:11" x14ac:dyDescent="0.3">
      <c r="A328" t="str">
        <f>'Dane corrupted'!B309</f>
        <v>MNIST-C (Zigzag)</v>
      </c>
      <c r="B328" t="str">
        <f>'Dane corrupted'!C309</f>
        <v>Multi-Layer Perceptron</v>
      </c>
      <c r="C328" t="str">
        <f>'Dane corrupted'!D309</f>
        <v>LDA</v>
      </c>
      <c r="D328">
        <f>'Dane corrupted'!K309</f>
        <v>0.88990000000000002</v>
      </c>
    </row>
    <row r="329" spans="1:11" x14ac:dyDescent="0.3">
      <c r="A329" t="str">
        <f>'Dane corrupted'!B310</f>
        <v>MNIST-C (Zigzag)</v>
      </c>
      <c r="B329" t="str">
        <f>'Dane corrupted'!C310</f>
        <v>Multi-Layer Perceptron</v>
      </c>
      <c r="C329" t="str">
        <f>'Dane corrupted'!D310</f>
        <v>PCA</v>
      </c>
      <c r="D329">
        <f>'Dane corrupted'!K310</f>
        <v>0.97050000000000003</v>
      </c>
    </row>
    <row r="330" spans="1:11" x14ac:dyDescent="0.3">
      <c r="A330" t="str">
        <f>'Dane corrupted'!B311</f>
        <v>MNIST-C (Zigzag)</v>
      </c>
      <c r="B330" t="str">
        <f>'Dane corrupted'!C311</f>
        <v>Multi-Layer Perceptron</v>
      </c>
      <c r="C330" t="str">
        <f>'Dane corrupted'!D311</f>
        <v>UMAP</v>
      </c>
      <c r="D330">
        <f>'Dane corrupted'!K311</f>
        <v>0.72619999999999996</v>
      </c>
    </row>
    <row r="331" spans="1:11" x14ac:dyDescent="0.3">
      <c r="A331" t="str">
        <f>'Dane corrupted'!B312</f>
        <v>MNIST-C (Zigzag)</v>
      </c>
      <c r="B331" t="str">
        <f>'Dane corrupted'!C312</f>
        <v>Support Vector Machine</v>
      </c>
      <c r="C331" t="str">
        <f>'Dane corrupted'!D312</f>
        <v>Brak redukcji</v>
      </c>
      <c r="D331">
        <f>'Dane corrupted'!K312</f>
        <v>0.9587</v>
      </c>
    </row>
    <row r="332" spans="1:11" x14ac:dyDescent="0.3">
      <c r="A332" t="str">
        <f>'Dane corrupted'!B313</f>
        <v>MNIST-C (Zigzag)</v>
      </c>
      <c r="B332" t="str">
        <f>'Dane corrupted'!C313</f>
        <v>Support Vector Machine</v>
      </c>
      <c r="C332" t="str">
        <f>'Dane corrupted'!D313</f>
        <v>Flood Fill</v>
      </c>
      <c r="D332">
        <f>'Dane corrupted'!K313</f>
        <v>0.9204</v>
      </c>
    </row>
    <row r="333" spans="1:11" x14ac:dyDescent="0.3">
      <c r="A333" t="str">
        <f>'Dane corrupted'!B314</f>
        <v>MNIST-C (Zigzag)</v>
      </c>
      <c r="B333" t="str">
        <f>'Dane corrupted'!C314</f>
        <v>Support Vector Machine</v>
      </c>
      <c r="C333" t="str">
        <f>'Dane corrupted'!D314</f>
        <v>LDA</v>
      </c>
      <c r="D333">
        <f>'Dane corrupted'!K314</f>
        <v>0.9103</v>
      </c>
    </row>
    <row r="334" spans="1:11" x14ac:dyDescent="0.3">
      <c r="A334" t="str">
        <f>'Dane corrupted'!B315</f>
        <v>MNIST-C (Zigzag)</v>
      </c>
      <c r="B334" t="str">
        <f>'Dane corrupted'!C315</f>
        <v>Support Vector Machine</v>
      </c>
      <c r="C334" t="str">
        <f>'Dane corrupted'!D315</f>
        <v>PCA</v>
      </c>
      <c r="D334">
        <f>'Dane corrupted'!K315</f>
        <v>0.96660000000000001</v>
      </c>
    </row>
    <row r="335" spans="1:11" x14ac:dyDescent="0.3">
      <c r="A335" t="str">
        <f>'Dane corrupted'!B316</f>
        <v>MNIST-C (Zigzag)</v>
      </c>
      <c r="B335" t="str">
        <f>'Dane corrupted'!C316</f>
        <v>Support Vector Machine</v>
      </c>
      <c r="C335" t="str">
        <f>'Dane corrupted'!D316</f>
        <v>UMAP</v>
      </c>
      <c r="D335">
        <f>'Dane corrupted'!K316</f>
        <v>0.71109999999999995</v>
      </c>
    </row>
    <row r="336" spans="1:11" x14ac:dyDescent="0.3">
      <c r="A336" t="str">
        <f>'Dane corrupted'!B317</f>
        <v>MNIST-C (Zigzag)</v>
      </c>
      <c r="B336" t="str">
        <f>'Dane corrupted'!C317</f>
        <v>XGBoost</v>
      </c>
      <c r="C336" t="str">
        <f>'Dane corrupted'!D317</f>
        <v>Brak redukcji</v>
      </c>
      <c r="D336">
        <f>'Dane corrupted'!K317</f>
        <v>0.94989999999999997</v>
      </c>
    </row>
  </sheetData>
  <conditionalFormatting pivot="1" sqref="G4:K7">
    <cfRule type="colorScale" priority="31">
      <colorScale>
        <cfvo type="min"/>
        <cfvo type="max"/>
        <color rgb="FFFFEF9C"/>
        <color rgb="FF63BE7B"/>
      </colorScale>
    </cfRule>
  </conditionalFormatting>
  <conditionalFormatting pivot="1" sqref="G24:K27">
    <cfRule type="colorScale" priority="25">
      <colorScale>
        <cfvo type="min"/>
        <cfvo type="max"/>
        <color rgb="FFFFEF9C"/>
        <color rgb="FF63BE7B"/>
      </colorScale>
    </cfRule>
  </conditionalFormatting>
  <conditionalFormatting pivot="1" sqref="G44:K47">
    <cfRule type="colorScale" priority="24">
      <colorScale>
        <cfvo type="min"/>
        <cfvo type="max"/>
        <color rgb="FFFFEF9C"/>
        <color rgb="FF63BE7B"/>
      </colorScale>
    </cfRule>
  </conditionalFormatting>
  <conditionalFormatting pivot="1" sqref="G64:K67">
    <cfRule type="colorScale" priority="23">
      <colorScale>
        <cfvo type="min"/>
        <cfvo type="max"/>
        <color rgb="FFFFEF9C"/>
        <color rgb="FF63BE7B"/>
      </colorScale>
    </cfRule>
  </conditionalFormatting>
  <conditionalFormatting pivot="1" sqref="G84:K87">
    <cfRule type="colorScale" priority="22">
      <colorScale>
        <cfvo type="min"/>
        <cfvo type="max"/>
        <color rgb="FFFFEF9C"/>
        <color rgb="FF63BE7B"/>
      </colorScale>
    </cfRule>
  </conditionalFormatting>
  <conditionalFormatting pivot="1" sqref="G104:K107">
    <cfRule type="colorScale" priority="21">
      <colorScale>
        <cfvo type="min"/>
        <cfvo type="max"/>
        <color rgb="FFFFEF9C"/>
        <color rgb="FF63BE7B"/>
      </colorScale>
    </cfRule>
  </conditionalFormatting>
  <conditionalFormatting pivot="1" sqref="G129:K132">
    <cfRule type="colorScale" priority="10">
      <colorScale>
        <cfvo type="min"/>
        <cfvo type="max"/>
        <color rgb="FFFFEF9C"/>
        <color rgb="FF63BE7B"/>
      </colorScale>
    </cfRule>
  </conditionalFormatting>
  <conditionalFormatting pivot="1" sqref="G150:K153">
    <cfRule type="colorScale" priority="9">
      <colorScale>
        <cfvo type="min"/>
        <cfvo type="max"/>
        <color rgb="FFFFEF9C"/>
        <color rgb="FF63BE7B"/>
      </colorScale>
    </cfRule>
  </conditionalFormatting>
  <conditionalFormatting pivot="1" sqref="G171:K174">
    <cfRule type="colorScale" priority="8">
      <colorScale>
        <cfvo type="min"/>
        <cfvo type="max"/>
        <color rgb="FFFFEF9C"/>
        <color rgb="FF63BE7B"/>
      </colorScale>
    </cfRule>
  </conditionalFormatting>
  <conditionalFormatting pivot="1" sqref="G192:K195">
    <cfRule type="colorScale" priority="7">
      <colorScale>
        <cfvo type="min"/>
        <cfvo type="max"/>
        <color rgb="FFFFEF9C"/>
        <color rgb="FF63BE7B"/>
      </colorScale>
    </cfRule>
  </conditionalFormatting>
  <conditionalFormatting pivot="1" sqref="G213:K216">
    <cfRule type="colorScale" priority="6">
      <colorScale>
        <cfvo type="min"/>
        <cfvo type="max"/>
        <color rgb="FFFFEF9C"/>
        <color rgb="FF63BE7B"/>
      </colorScale>
    </cfRule>
  </conditionalFormatting>
  <conditionalFormatting pivot="1" sqref="G234:K237">
    <cfRule type="colorScale" priority="5">
      <colorScale>
        <cfvo type="min"/>
        <cfvo type="max"/>
        <color rgb="FFFFEF9C"/>
        <color rgb="FF63BE7B"/>
      </colorScale>
    </cfRule>
  </conditionalFormatting>
  <conditionalFormatting pivot="1" sqref="G255:K258">
    <cfRule type="colorScale" priority="4">
      <colorScale>
        <cfvo type="min"/>
        <cfvo type="max"/>
        <color rgb="FFFFEF9C"/>
        <color rgb="FF63BE7B"/>
      </colorScale>
    </cfRule>
  </conditionalFormatting>
  <conditionalFormatting pivot="1" sqref="G276:K279">
    <cfRule type="colorScale" priority="3">
      <colorScale>
        <cfvo type="min"/>
        <cfvo type="max"/>
        <color rgb="FFFFEF9C"/>
        <color rgb="FF63BE7B"/>
      </colorScale>
    </cfRule>
  </conditionalFormatting>
  <conditionalFormatting pivot="1" sqref="G318:K321">
    <cfRule type="colorScale" priority="2">
      <colorScale>
        <cfvo type="min"/>
        <cfvo type="max"/>
        <color rgb="FFFFEF9C"/>
        <color rgb="FF63BE7B"/>
      </colorScale>
    </cfRule>
  </conditionalFormatting>
  <conditionalFormatting pivot="1" sqref="G297:K300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843F1D-16E5-4AB0-9B45-990FFC0CC5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Dane</vt:lpstr>
      <vt:lpstr>Tabele</vt:lpstr>
      <vt:lpstr>Dane corrupted</vt:lpstr>
      <vt:lpstr>Tabele Corrupted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Czaicki</dc:creator>
  <cp:lastModifiedBy>Heta</cp:lastModifiedBy>
  <dcterms:created xsi:type="dcterms:W3CDTF">2025-10-19T21:55:36Z</dcterms:created>
  <dcterms:modified xsi:type="dcterms:W3CDTF">2025-10-27T08:33:23Z</dcterms:modified>
</cp:coreProperties>
</file>